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19d917f2724f1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mmand Center" sheetId="1" r:id="R935231549b9d4903"/>
    <x:sheet xmlns:r="http://schemas.openxmlformats.org/officeDocument/2006/relationships" name="Daily Sprint" sheetId="2" r:id="R4852abc30c0f47fb"/>
    <x:sheet xmlns:r="http://schemas.openxmlformats.org/officeDocument/2006/relationships" name="Module Register" sheetId="3" r:id="R1e8e940a183747d0"/>
    <x:sheet xmlns:r="http://schemas.openxmlformats.org/officeDocument/2006/relationships" name="Beta Gates" sheetId="4" r:id="R535bde6fb2844b4e"/>
    <x:sheet xmlns:r="http://schemas.openxmlformats.org/officeDocument/2006/relationships" name="Settings &amp; Lists" sheetId="5" r:id="R3a7ad18acf9e4c8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d, mmm d"/>
    <x:numFmt numFmtId="201" formatCode="0%"/>
    <x:numFmt numFmtId="202" formatCode="yyyy-mm-dd"/>
  </x:numFmts>
  <x:fonts count="9">
    <x:font>
      <x:sz val="11"/>
      <x:name val="Carlito"/>
    </x:font>
    <x:font>
      <x:b/>
      <x:sz val="18"/>
      <x:color rgb="FFFFFFFF"/>
      <x:name val="Carlito"/>
    </x:font>
    <x:font>
      <x:sz val="11"/>
      <x:color rgb="FF5F6B7A"/>
      <x:name val="Carlito"/>
    </x:font>
    <x:font>
      <x:b/>
      <x:sz val="11"/>
      <x:color rgb="FFFFFFFF"/>
      <x:name val="Carlito"/>
    </x:font>
    <x:font>
      <x:sz val="10"/>
      <x:color rgb="FF172033"/>
      <x:name val="Carlito"/>
    </x:font>
    <x:font>
      <x:b/>
      <x:sz val="11"/>
      <x:color rgb="FF172033"/>
      <x:name val="Carlito"/>
    </x:font>
    <x:font>
      <x:b/>
      <x:sz val="16"/>
      <x:color rgb="FF2563EB"/>
      <x:name val="Carlito"/>
    </x:font>
    <x:font>
      <x:b/>
      <x:sz val="12"/>
      <x:color rgb="FFFFFFFF"/>
      <x:name val="Carlito"/>
    </x:font>
    <x:font>
      <x:sz val="11"/>
      <x:color rgb="FF172033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F4F6F8"/>
      </x:patternFill>
    </x:fill>
    <x:fill>
      <x:patternFill patternType="solid">
        <x:fgColor rgb="FFFFFFFF"/>
      </x:patternFill>
    </x:fill>
    <x:fill>
      <x:patternFill patternType="solid">
        <x:fgColor rgb="FF2563EB"/>
      </x:patternFill>
    </x:fill>
  </x:fills>
  <x:borders count="10">
    <x:border/>
    <x:border>
      <x:bottom style="thin">
        <x:color rgb="FFD9DEE7"/>
      </x:bottom>
    </x:border>
    <x:border>
      <x:top style="thin">
        <x:color rgb="FFD9DEE7"/>
      </x:top>
      <x:bottom style="thin">
        <x:color rgb="FFD9DEE7"/>
      </x:bottom>
    </x:border>
    <x:border>
      <x:left style="thin">
        <x:color rgb="FFD9DEE7"/>
      </x:left>
      <x:top style="thin">
        <x:color rgb="FFD9DEE7"/>
      </x:top>
    </x:border>
    <x:border>
      <x:right style="thin">
        <x:color rgb="FFD9DEE7"/>
      </x:right>
      <x:top style="thin">
        <x:color rgb="FFD9DEE7"/>
      </x:top>
    </x:border>
    <x:border>
      <x:left style="thin">
        <x:color rgb="FFD9DEE7"/>
      </x:left>
    </x:border>
    <x:border>
      <x:right style="thin">
        <x:color rgb="FFD9DEE7"/>
      </x:right>
    </x:border>
    <x:border>
      <x:left style="thin">
        <x:color rgb="FFD9DEE7"/>
      </x:left>
      <x:bottom style="thin">
        <x:color rgb="FFD9DEE7"/>
      </x:bottom>
    </x:border>
    <x:border>
      <x:right style="thin">
        <x:color rgb="FFD9DEE7"/>
      </x:right>
      <x:bottom style="thin">
        <x:color rgb="FFD9DEE7"/>
      </x:bottom>
    </x:border>
    <x:border>
      <x:top style="thin">
        <x:color rgb="FFD9DEE7"/>
      </x:top>
    </x:border>
  </x:borders>
  <x:cellStyleXfs count="1">
    <x:xf numFmtId="0" fontId="0" fillId="0" borderId="0"/>
  </x:cellStyleXfs>
  <x:cellXfs count="5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201" fontId="4" fillId="0" borderId="2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/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center"/>
    </x:xf>
    <x:xf numFmtId="201" fontId="6" fillId="4" borderId="0" xfId="0" applyNumberFormat="1" applyFont="1" applyFill="1" applyBorder="1" applyAlignment="1">
      <x:alignment horizontal="center"/>
    </x:xf>
    <x:xf numFmtId="0" fontId="3" fillId="2" borderId="3" xfId="0" applyNumberFormat="1" applyFont="1" applyFill="1" applyBorder="1" applyAlignment="1">
      <x:alignment vertical="center" wrapText="1"/>
    </x:xf>
    <x:xf numFmtId="0" fontId="3" fillId="2" borderId="4" xfId="0" applyNumberFormat="1" applyFont="1" applyFill="1" applyBorder="1" applyAlignment="1">
      <x:alignment vertical="center" wrapText="1"/>
    </x:xf>
    <x:xf numFmtId="0" fontId="5" fillId="3" borderId="5" xfId="0" applyNumberFormat="1" applyFont="1" applyFill="1" applyBorder="1"/>
    <x:xf numFmtId="201" fontId="6" fillId="4" borderId="6" xfId="0" applyNumberFormat="1" applyFont="1" applyFill="1" applyBorder="1" applyAlignment="1">
      <x:alignment horizontal="center"/>
    </x:xf>
    <x:xf numFmtId="0" fontId="6" fillId="4" borderId="6" xfId="0" applyNumberFormat="1" applyFont="1" applyFill="1" applyBorder="1" applyAlignment="1">
      <x:alignment horizontal="center"/>
    </x:xf>
    <x:xf numFmtId="0" fontId="5" fillId="3" borderId="7" xfId="0" applyNumberFormat="1" applyFont="1" applyFill="1" applyBorder="1"/>
    <x:xf numFmtId="0" fontId="6" fillId="4" borderId="8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center" wrapText="1"/>
    </x:xf>
    <x:xf numFmtId="0" fontId="5" fillId="3" borderId="3" xfId="0" applyNumberFormat="1" applyFont="1" applyFill="1" applyBorder="1" applyAlignment="1">
      <x:alignment wrapText="1"/>
    </x:xf>
    <x:xf numFmtId="0" fontId="8" fillId="0" borderId="9" xfId="0" applyNumberFormat="1" applyFont="1" applyFill="1" applyBorder="1" applyAlignment="1">
      <x:alignment vertical="center" wrapText="1"/>
    </x:xf>
    <x:xf numFmtId="0" fontId="8" fillId="0" borderId="4" xfId="0" applyNumberFormat="1" applyFont="1" applyFill="1" applyBorder="1" applyAlignment="1">
      <x:alignment vertical="center" wrapText="1"/>
    </x:xf>
    <x:xf numFmtId="0" fontId="5" fillId="3" borderId="5" xfId="0" applyNumberFormat="1" applyFont="1" applyFill="1" applyBorder="1" applyAlignment="1">
      <x:alignment wrapText="1"/>
    </x:xf>
    <x:xf numFmtId="0" fontId="8" fillId="0" borderId="6" xfId="0" applyNumberFormat="1" applyFont="1" applyFill="1" applyBorder="1" applyAlignment="1">
      <x:alignment vertical="center" wrapText="1"/>
    </x:xf>
    <x:xf numFmtId="0" fontId="5" fillId="3" borderId="7" xfId="0" applyNumberFormat="1" applyFont="1" applyFill="1" applyBorder="1" applyAlignment="1">
      <x:alignment wrapText="1"/>
    </x:xf>
    <x:xf numFmtId="0" fontId="8" fillId="0" borderId="1" xfId="0" applyNumberFormat="1" applyFont="1" applyFill="1" applyBorder="1" applyAlignment="1">
      <x:alignment vertical="center" wrapText="1"/>
    </x:xf>
    <x:xf numFmtId="0" fontId="8" fillId="0" borderId="8" xfId="0" applyNumberFormat="1" applyFont="1" applyFill="1" applyBorder="1" applyAlignment="1">
      <x:alignment vertical="center" wrapText="1"/>
    </x:xf>
    <x:xf numFmtId="0" fontId="7" fillId="2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0" fontId="4" fillId="0" borderId="9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157347"/>
      </x:font>
      <x:fill>
        <x:patternFill patternType="solid">
          <x:bgColor rgb="FFE8F5EE"/>
        </x:patternFill>
      </x:fill>
    </x:dxf>
    <x:dxf>
      <x:font>
        <x:b/>
        <x:color rgb="FF2563EB"/>
      </x:font>
      <x:fill>
        <x:patternFill patternType="solid">
          <x:bgColor rgb="FFEAF1FF"/>
        </x:patternFill>
      </x:fill>
    </x:dxf>
    <x:dxf>
      <x:font>
        <x:b/>
        <x:color rgb="FF2563EB"/>
      </x:font>
      <x:fill>
        <x:patternFill patternType="solid">
          <x:bgColor rgb="FFEAF1FF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A15C00"/>
      </x:font>
      <x:fill>
        <x:patternFill patternType="solid">
          <x:bgColor rgb="FFFFF4D6"/>
        </x:patternFill>
      </x:fill>
    </x:dxf>
    <x:dxf>
      <x:font>
        <x:b/>
        <x:color rgb="FF157347"/>
      </x:font>
      <x:fill>
        <x:patternFill patternType="solid">
          <x:bgColor rgb="FFE8F5EE"/>
        </x:patternFill>
      </x:fill>
    </x:dxf>
    <x:dxf>
      <x:font>
        <x:b/>
        <x:color rgb="FF2563EB"/>
      </x:font>
      <x:fill>
        <x:patternFill patternType="solid">
          <x:bgColor rgb="FFEAF1FF"/>
        </x:patternFill>
      </x:fill>
    </x:dxf>
    <x:dxf>
      <x:font>
        <x:b/>
        <x:color rgb="FF2563EB"/>
      </x:font>
      <x:fill>
        <x:patternFill patternType="solid">
          <x:bgColor rgb="FFEAF1FF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A15C00"/>
      </x:font>
      <x:fill>
        <x:patternFill patternType="solid">
          <x:bgColor rgb="FFFFF4D6"/>
        </x:patternFill>
      </x:fill>
    </x:dxf>
    <x:dxf>
      <x:font>
        <x:b/>
        <x:color rgb="FF157347"/>
      </x:font>
      <x:fill>
        <x:patternFill patternType="solid">
          <x:bgColor rgb="FFE8F5EE"/>
        </x:patternFill>
      </x:fill>
    </x:dxf>
    <x:dxf>
      <x:font>
        <x:b/>
        <x:color rgb="FF2563EB"/>
      </x:font>
      <x:fill>
        <x:patternFill patternType="solid">
          <x:bgColor rgb="FFEAF1FF"/>
        </x:patternFill>
      </x:fill>
    </x:dxf>
    <x:dxf>
      <x:font>
        <x:b/>
        <x:color rgb="FF2563EB"/>
      </x:font>
      <x:fill>
        <x:patternFill patternType="solid">
          <x:bgColor rgb="FFEAF1FF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A15C00"/>
      </x:font>
      <x:fill>
        <x:patternFill patternType="solid">
          <x:bgColor rgb="FFFFF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79ea9b5d514466" /><Relationship Type="http://schemas.openxmlformats.org/officeDocument/2006/relationships/theme" Target="/xl/theme/theme1.xml" Id="Rc8e2474a6a844255" /><Relationship Type="http://schemas.openxmlformats.org/officeDocument/2006/relationships/sharedStrings" Target="/xl/sharedStrings.xml" Id="R70051a57bffd4aad" /><Relationship Type="http://schemas.openxmlformats.org/officeDocument/2006/relationships/worksheet" Target="/xl/worksheets/sheet1.xml" Id="R935231549b9d4903" /><Relationship Type="http://schemas.openxmlformats.org/officeDocument/2006/relationships/worksheet" Target="/xl/worksheets/sheet2.xml" Id="R4852abc30c0f47fb" /><Relationship Type="http://schemas.openxmlformats.org/officeDocument/2006/relationships/worksheet" Target="/xl/worksheets/sheet3.xml" Id="R1e8e940a183747d0" /><Relationship Type="http://schemas.openxmlformats.org/officeDocument/2006/relationships/worksheet" Target="/xl/worksheets/sheet4.xml" Id="R535bde6fb2844b4e" /><Relationship Type="http://schemas.openxmlformats.org/officeDocument/2006/relationships/worksheet" Target="/xl/worksheets/sheet5.xml" Id="R3a7ad18acf9e4c8e" /></Relationships>
</file>

<file path=xl/tables/table1.xml><?xml version="1.0" encoding="utf-8"?>
<x:table xmlns:x="http://schemas.openxmlformats.org/spreadsheetml/2006/main" id="1" name="DailySprintTable" displayName="DailySprintTable" ref="A4:J18" headerRowCount="1" totalsRowCount="0" totalsRowShown="0">
  <x:tableColumns count="10">
    <x:tableColumn id="1" name="Day"/>
    <x:tableColumn id="2" name="Date"/>
    <x:tableColumn id="3" name="Focus"/>
    <x:tableColumn id="4" name="Modules"/>
    <x:tableColumn id="5" name="Planned outcome"/>
    <x:tableColumn id="6" name="Exit check"/>
    <x:tableColumn id="7" name="Status"/>
    <x:tableColumn id="8" name="Progress"/>
    <x:tableColumn id="9" name="Evidence link"/>
    <x:tableColumn id="10" name="Wrap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oduleRegisterTable" displayName="ModuleRegisterTable" ref="A4:O28" headerRowCount="1" totalsRowCount="0" totalsRowShown="0">
  <x:tableColumns count="15">
    <x:tableColumn id="1" name="ID"/>
    <x:tableColumn id="2" name="Layer"/>
    <x:tableColumn id="3" name="Module"/>
    <x:tableColumn id="4" name="Priority"/>
    <x:tableColumn id="5" name="Beta depth"/>
    <x:tableColumn id="6" name="Owner"/>
    <x:tableColumn id="7" name="Start day"/>
    <x:tableColumn id="8" name="Finish day"/>
    <x:tableColumn id="9" name="Status"/>
    <x:tableColumn id="10" name="Progress"/>
    <x:tableColumn id="11" name="Dependencies"/>
    <x:tableColumn id="12" name="Definition of done"/>
    <x:tableColumn id="13" name="Evidence link"/>
    <x:tableColumn id="14" name="Blocker"/>
    <x:tableColumn id="15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BetaGatesTable" displayName="BetaGatesTable" ref="A4:H14" headerRowCount="1" totalsRowCount="0" totalsRowShown="0">
  <x:tableColumns count="8">
    <x:tableColumn id="1" name="Gate"/>
    <x:tableColumn id="2" name="Area"/>
    <x:tableColumn id="3" name="Release condition"/>
    <x:tableColumn id="4" name="Priority"/>
    <x:tableColumn id="5" name="Status"/>
    <x:tableColumn id="6" name="Dependencies"/>
    <x:tableColumn id="7" name="Acceptance evidence"/>
    <x:tableColumn id="8" name="Evidence link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9ee2569774d4fa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6fe447070d4ea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a490bbd18cc4be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5" hidden="0" customWidth="1"/>
    <x:col min="4" max="4" width="36" hidden="0" customWidth="1"/>
    <x:col min="5" max="5" width="12" hidden="0" customWidth="1"/>
    <x:col min="6" max="6" width="34" hidden="0" customWidth="1"/>
    <x:col min="7" max="7" width="4" hidden="0" customWidth="1"/>
    <x:col min="8" max="8" width="4" hidden="0" customWidth="1"/>
  </x:cols>
  <x:sheetData>
    <x:row r="1" ht="34" customHeight="1">
      <x:c r="A1" s="3" t="str">
        <x:v>ScholarPath Build Command Center</x:v>
      </x:c>
      <x:c r="B1" s="3"/>
      <x:c r="C1" s="3"/>
      <x:c r="D1" s="3"/>
      <x:c r="E1" s="3"/>
      <x:c r="F1" s="3"/>
      <x:c r="G1" s="3"/>
      <x:c r="H1" s="3"/>
    </x:row>
    <x:row r="2" ht="28" customHeight="1">
      <x:c r="A2" s="6" t="str">
        <x:v>Live beta tracker | Start: July 30, 2026 | Target: August 12, 2026</x:v>
      </x:c>
      <x:c r="B2" s="6"/>
      <x:c r="C2" s="6"/>
      <x:c r="D2" s="6"/>
      <x:c r="E2" s="6"/>
      <x:c r="F2" s="6"/>
      <x:c r="G2" s="6"/>
      <x:c r="H2" s="6"/>
    </x:row>
    <x:row r="4" ht="30" customHeight="1">
      <x:c r="A4" s="24" t="str">
        <x:v>Metric</x:v>
      </x:c>
      <x:c r="B4" s="25" t="str">
        <x:v>Live value</x:v>
      </x:c>
      <x:c r="D4" s="33" t="str">
        <x:v>TODAY - DAY 1</x:v>
      </x:c>
      <x:c r="E4" s="33"/>
      <x:c r="F4" s="33"/>
      <x:c r="G4" s="33"/>
      <x:c r="H4" s="33"/>
    </x:row>
    <x:row r="5" ht="42" customHeight="1">
      <x:c r="A5" s="26" t="str">
        <x:v>Overall progress</x:v>
      </x:c>
      <x:c r="B5" s="27" t="n">
        <x:f>IFERROR(AVERAGE('Module Register'!$J$5:$J$28),0)</x:f>
        <x:v>0</x:v>
      </x:c>
      <x:c r="D5" s="38" t="str">
        <x:v>Modules</x:v>
      </x:c>
      <x:c r="E5" s="39" t="str">
        <x:v>UX0, F4, A1</x:v>
      </x:c>
      <x:c r="F5" s="39"/>
      <x:c r="G5" s="39"/>
      <x:c r="H5" s="40"/>
    </x:row>
    <x:row r="6" ht="42" customHeight="1">
      <x:c r="A6" s="26" t="str">
        <x:v>Modules done</x:v>
      </x:c>
      <x:c r="B6" s="28" t="n">
        <x:f>COUNTIF('Module Register'!$I$5:$I$28,"Done")</x:f>
        <x:v>0</x:v>
      </x:c>
      <x:c r="D6" s="41" t="str">
        <x:v>Outcome</x:v>
      </x:c>
      <x:c r="E6" s="37" t="str">
        <x:v>Readable shell, shared service contracts, Supabase auth and RLS baseline</x:v>
      </x:c>
      <x:c r="F6" s="37"/>
      <x:c r="G6" s="37"/>
      <x:c r="H6" s="42"/>
    </x:row>
    <x:row r="7" ht="42" customHeight="1">
      <x:c r="A7" s="26" t="str">
        <x:v>Modules in progress</x:v>
      </x:c>
      <x:c r="B7" s="28" t="n">
        <x:f>COUNTIF('Module Register'!$I$5:$I$28,"In Progress")</x:f>
        <x:v>0</x:v>
      </x:c>
      <x:c r="D7" s="41" t="str">
        <x:v>Haidar decision</x:v>
      </x:c>
      <x:c r="E7" s="37" t="str">
        <x:v>Approve typography/navigation direction and provide Supabase project variables</x:v>
      </x:c>
      <x:c r="F7" s="37"/>
      <x:c r="G7" s="37"/>
      <x:c r="H7" s="42"/>
    </x:row>
    <x:row r="8" ht="42" customHeight="1">
      <x:c r="A8" s="26" t="str">
        <x:v>Blocked modules</x:v>
      </x:c>
      <x:c r="B8" s="28" t="n">
        <x:f>COUNTIF('Module Register'!$I$5:$I$28,"Blocked")</x:f>
        <x:v>0</x:v>
      </x:c>
      <x:c r="D8" s="41" t="str">
        <x:v>Codex delivery</x:v>
      </x:c>
      <x:c r="E8" s="37" t="str">
        <x:v>Implement, test and attach evidence links before daily wrap</x:v>
      </x:c>
      <x:c r="F8" s="37"/>
      <x:c r="G8" s="37"/>
      <x:c r="H8" s="42"/>
    </x:row>
    <x:row r="9" ht="42" customHeight="1">
      <x:c r="A9" s="26" t="str">
        <x:v>P0 remaining</x:v>
      </x:c>
      <x:c r="B9" s="28" t="n">
        <x:f>COUNTIFS('Module Register'!$D$5:$D$28,"P0",'Module Register'!$I$5:$I$28,"&lt;&gt;Done")</x:f>
        <x:v>17</x:v>
      </x:c>
      <x:c r="D9" s="43" t="str">
        <x:v>Exit check</x:v>
      </x:c>
      <x:c r="E9" s="44" t="str">
        <x:v>Desktop/mobile shell works and cross-user isolation test passes</x:v>
      </x:c>
      <x:c r="F9" s="44"/>
      <x:c r="G9" s="44"/>
      <x:c r="H9" s="45"/>
    </x:row>
    <x:row r="10">
      <x:c r="A10" s="29" t="str">
        <x:v>Release gates passed</x:v>
      </x:c>
      <x:c r="B10" s="30" t="n">
        <x:f>COUNTIF('Beta Gates'!$E$5:$E$14,"Done")</x:f>
        <x:v>0</x:v>
      </x:c>
    </x:row>
    <x:row r="13">
      <x:c r="A13" s="46" t="str">
        <x:v>Critical path</x:v>
      </x:c>
      <x:c r="B13" s="46"/>
      <x:c r="C13" s="46"/>
      <x:c r="D13" s="46"/>
      <x:c r="E13" s="46"/>
      <x:c r="F13" s="46"/>
      <x:c r="G13" s="46"/>
      <x:c r="H13" s="46"/>
    </x:row>
    <x:row r="14">
      <x:c r="A14" s="48" t="str">
        <x:v>1</x:v>
      </x:c>
      <x:c r="B14" s="48" t="str">
        <x:v>Profile truth</x:v>
      </x:c>
      <x:c r="C14" s="48" t="str">
        <x:v>A2-A4</x:v>
      </x:c>
      <x:c r="D14" s="48" t="str">
        <x:v>Student facts and academic context</x:v>
      </x:c>
      <x:c r="E14" s="48" t="str">
        <x:v>2-3</x:v>
      </x:c>
      <x:c r="F14" s="48" t="str">
        <x:v>Must be versioned</x:v>
      </x:c>
      <x:c r="G14" s="48" t="str"/>
      <x:c r="H14" s="48" t="str"/>
    </x:row>
    <x:row r="15">
      <x:c r="A15" s="49" t="str">
        <x:v>2</x:v>
      </x:c>
      <x:c r="B15" s="49" t="str">
        <x:v>Catalogue truth</x:v>
      </x:c>
      <x:c r="C15" s="49" t="str">
        <x:v>B1-B4, F1</x:v>
      </x:c>
      <x:c r="D15" s="49" t="str">
        <x:v>Sources, programmes and scholarships</x:v>
      </x:c>
      <x:c r="E15" s="49" t="str">
        <x:v>3-6</x:v>
      </x:c>
      <x:c r="F15" s="49" t="str">
        <x:v>10 reviewed opportunities</x:v>
      </x:c>
      <x:c r="G15" s="49" t="str"/>
      <x:c r="H15" s="49" t="str"/>
    </x:row>
    <x:row r="16">
      <x:c r="A16" s="49" t="str">
        <x:v>3</x:v>
      </x:c>
      <x:c r="B16" s="49" t="str">
        <x:v>Decision truth</x:v>
      </x:c>
      <x:c r="C16" s="49" t="str">
        <x:v>C1-C3</x:v>
      </x:c>
      <x:c r="D16" s="49" t="str">
        <x:v>Eligibility, ranking and readiness</x:v>
      </x:c>
      <x:c r="E16" s="49" t="str">
        <x:v>7-9</x:v>
      </x:c>
      <x:c r="F16" s="49" t="str">
        <x:v>30 golden profiles</x:v>
      </x:c>
      <x:c r="G16" s="49" t="str"/>
      <x:c r="H16" s="49" t="str"/>
    </x:row>
    <x:row r="17">
      <x:c r="A17" s="49" t="str">
        <x:v>4</x:v>
      </x:c>
      <x:c r="B17" s="49" t="str">
        <x:v>Student execution</x:v>
      </x:c>
      <x:c r="C17" s="49" t="str">
        <x:v>D1-E3</x:v>
      </x:c>
      <x:c r="D17" s="49" t="str">
        <x:v>Research to application plan</x:v>
      </x:c>
      <x:c r="E17" s="49" t="str">
        <x:v>9-11</x:v>
      </x:c>
      <x:c r="F17" s="49" t="str">
        <x:v>Critical journey passes</x:v>
      </x:c>
      <x:c r="G17" s="49" t="str"/>
      <x:c r="H17" s="49" t="str"/>
    </x:row>
    <x:row r="18">
      <x:c r="A18" s="50" t="str">
        <x:v>5</x:v>
      </x:c>
      <x:c r="B18" s="50" t="str">
        <x:v>Beta operations</x:v>
      </x:c>
      <x:c r="C18" s="50" t="str">
        <x:v>F2-F3, G1</x:v>
      </x:c>
      <x:c r="D18" s="50" t="str">
        <x:v>Corrections, alerts and release QA</x:v>
      </x:c>
      <x:c r="E18" s="50" t="str">
        <x:v>12-14</x:v>
      </x:c>
      <x:c r="F18" s="50" t="str">
        <x:v>All release gates Done</x:v>
      </x:c>
      <x:c r="G18" s="50" t="str"/>
      <x:c r="H18" s="50" t="str"/>
    </x:row>
  </x:sheetData>
  <x:mergeCells>
    <x:mergeCell ref="A1:H1"/>
    <x:mergeCell ref="A2:H2"/>
    <x:mergeCell ref="D4:H4"/>
    <x:mergeCell ref="E5:H5"/>
    <x:mergeCell ref="E6:H6"/>
    <x:mergeCell ref="E7:H7"/>
    <x:mergeCell ref="E8:H8"/>
    <x:mergeCell ref="E9:H9"/>
    <x:mergeCell ref="A13:H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4" hidden="0" customWidth="1"/>
    <x:col min="3" max="3" width="22" hidden="0" customWidth="1"/>
    <x:col min="4" max="4" width="16" hidden="0" customWidth="1"/>
    <x:col min="5" max="5" width="42" hidden="0" customWidth="1"/>
    <x:col min="6" max="6" width="42" hidden="0" customWidth="1"/>
    <x:col min="7" max="7" width="16" hidden="0" customWidth="1"/>
    <x:col min="8" max="8" width="12" hidden="0" customWidth="1"/>
    <x:col min="9" max="9" width="26" hidden="0" customWidth="1"/>
    <x:col min="10" max="10" width="34" hidden="0" customWidth="1"/>
  </x:cols>
  <x:sheetData>
    <x:row r="1" ht="34" customHeight="1">
      <x:c r="A1" s="3" t="str">
        <x:v>ScholarPath Daily Sprint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8" customHeight="1">
      <x:c r="A2" s="6" t="str">
        <x:v>July 30 to August 12, 2026 | Update status, progress, evidence and blockers at each daily wrap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4" ht="30" customHeight="1">
      <x:c r="A4" s="9" t="str">
        <x:v>Day</x:v>
      </x:c>
      <x:c r="B4" s="9" t="str">
        <x:v>Date</x:v>
      </x:c>
      <x:c r="C4" s="9" t="str">
        <x:v>Focus</x:v>
      </x:c>
      <x:c r="D4" s="9" t="str">
        <x:v>Modules</x:v>
      </x:c>
      <x:c r="E4" s="9" t="str">
        <x:v>Planned outcome</x:v>
      </x:c>
      <x:c r="F4" s="9" t="str">
        <x:v>Exit check</x:v>
      </x:c>
      <x:c r="G4" s="9" t="str">
        <x:v>Status</x:v>
      </x:c>
      <x:c r="H4" s="9" t="str">
        <x:v>Progress</x:v>
      </x:c>
      <x:c r="I4" s="9" t="str">
        <x:v>Evidence link</x:v>
      </x:c>
      <x:c r="J4" s="9" t="str">
        <x:v>Wrap notes</x:v>
      </x:c>
    </x:row>
    <x:row r="5" ht="52" customHeight="1">
      <x:c r="A5" s="13" t="n">
        <x:v>1</x:v>
      </x:c>
      <x:c r="B5" s="15" t="n">
        <x:v>46233</x:v>
      </x:c>
      <x:c r="C5" s="13" t="str">
        <x:v>Foundation and access</x:v>
      </x:c>
      <x:c r="D5" s="13" t="str">
        <x:v>UX0, F4, A1</x:v>
      </x:c>
      <x:c r="E5" s="13" t="str">
        <x:v>Readable product shell, shared contracts, Supabase auth/RLS baseline</x:v>
      </x:c>
      <x:c r="F5" s="13" t="str">
        <x:v>Desktop/mobile shell works; auth isolation test passes</x:v>
      </x:c>
      <x:c r="G5" s="13" t="str">
        <x:v>In Progress</x:v>
      </x:c>
      <x:c r="H5" s="17" t="n">
        <x:v>0.05</x:v>
      </x:c>
      <x:c r="I5" s="13" t="str"/>
      <x:c r="J5" s="13" t="str">
        <x:v>Do not polish the discarded prototype</x:v>
      </x:c>
    </x:row>
    <x:row r="6" ht="52" customHeight="1">
      <x:c r="A6" s="14" t="n">
        <x:v>2</x:v>
      </x:c>
      <x:c r="B6" s="16" t="n">
        <x:v>46234</x:v>
      </x:c>
      <x:c r="C6" s="14" t="str">
        <x:v>Student intelligence</x:v>
      </x:c>
      <x:c r="D6" s="14" t="str">
        <x:v>A2, A3</x:v>
      </x:c>
      <x:c r="E6" s="14" t="str">
        <x:v>Adaptive regional onboarding and versioned evidence profile</x:v>
      </x:c>
      <x:c r="F6" s="14" t="str">
        <x:v>One Pakistan, India and Bangladesh profile saves and resumes</x:v>
      </x:c>
      <x:c r="G6" s="14" t="str">
        <x:v>Not Started</x:v>
      </x:c>
      <x:c r="H6" s="18" t="n">
        <x:v>0</x:v>
      </x:c>
      <x:c r="I6" s="14" t="str"/>
      <x:c r="J6" s="14" t="str">
        <x:v>Dropdown-first forms; preserve original values</x:v>
      </x:c>
    </x:row>
    <x:row r="7" ht="52" customHeight="1">
      <x:c r="A7" s="14" t="n">
        <x:v>3</x:v>
      </x:c>
      <x:c r="B7" s="16" t="n">
        <x:v>46235</x:v>
      </x:c>
      <x:c r="C7" s="14" t="str">
        <x:v>Academic truth</x:v>
      </x:c>
      <x:c r="D7" s="14" t="str">
        <x:v>A4, B4</x:v>
      </x:c>
      <x:c r="E7" s="14" t="str">
        <x:v>Academic context, qualification taxonomy and reusable rule library</x:v>
      </x:c>
      <x:c r="F7" s="14" t="str">
        <x:v>Unknown equivalency stays explicit; taxonomy tests pass</x:v>
      </x:c>
      <x:c r="G7" s="14" t="str">
        <x:v>Not Started</x:v>
      </x:c>
      <x:c r="H7" s="18" t="n">
        <x:v>0</x:v>
      </x:c>
      <x:c r="I7" s="14" t="str"/>
      <x:c r="J7" s="14" t="str">
        <x:v>No silent GPA conversion</x:v>
      </x:c>
    </x:row>
    <x:row r="8" ht="52" customHeight="1">
      <x:c r="A8" s="14" t="n">
        <x:v>4</x:v>
      </x:c>
      <x:c r="B8" s="16" t="n">
        <x:v>46236</x:v>
      </x:c>
      <x:c r="C8" s="14" t="str">
        <x:v>Source operations</x:v>
      </x:c>
      <x:c r="D8" s="14" t="str">
        <x:v>B3, F1</x:v>
      </x:c>
      <x:c r="E8" s="14" t="str">
        <x:v>Source registry, atomic fact editor and two-person review flow</x:v>
      </x:c>
      <x:c r="F8" s="14" t="str">
        <x:v>One official source moves capture to approved publication</x:v>
      </x:c>
      <x:c r="G8" s="14" t="str">
        <x:v>Not Started</x:v>
      </x:c>
      <x:c r="H8" s="18" t="n">
        <x:v>0</x:v>
      </x:c>
      <x:c r="I8" s="14" t="str"/>
      <x:c r="J8" s="14" t="str">
        <x:v>Operator cannot approve own material change</x:v>
      </x:c>
    </x:row>
    <x:row r="9" ht="52" customHeight="1">
      <x:c r="A9" s="14" t="n">
        <x:v>5</x:v>
      </x:c>
      <x:c r="B9" s="16" t="n">
        <x:v>46237</x:v>
      </x:c>
      <x:c r="C9" s="14" t="str">
        <x:v>Programme catalogue</x:v>
      </x:c>
      <x:c r="D9" s="14" t="str">
        <x:v>B1</x:v>
      </x:c>
      <x:c r="E9" s="14" t="str">
        <x:v>Institution, programme, intake, requirements and source-backed detail</x:v>
      </x:c>
      <x:c r="F9" s="14" t="str">
        <x:v>Five programmes publish with complete provenance</x:v>
      </x:c>
      <x:c r="G9" s="14" t="str">
        <x:v>Not Started</x:v>
      </x:c>
      <x:c r="H9" s="18" t="n">
        <x:v>0</x:v>
      </x:c>
      <x:c r="I9" s="14" t="str"/>
      <x:c r="J9" s="14" t="str">
        <x:v>Programme facts are cycle-aware</x:v>
      </x:c>
    </x:row>
    <x:row r="10" ht="52" customHeight="1">
      <x:c r="A10" s="14" t="n">
        <x:v>6</x:v>
      </x:c>
      <x:c r="B10" s="16" t="n">
        <x:v>46238</x:v>
      </x:c>
      <x:c r="C10" s="14" t="str">
        <x:v>Scholarship catalogue</x:v>
      </x:c>
      <x:c r="D10" s="14" t="str">
        <x:v>B2</x:v>
      </x:c>
      <x:c r="E10" s="14" t="str">
        <x:v>Scholarship cycles, coverage, dependencies, requirements and deadlines</x:v>
      </x:c>
      <x:c r="F10" s="14" t="str">
        <x:v>Five scholarships publish and link to eligible programmes</x:v>
      </x:c>
      <x:c r="G10" s="14" t="str">
        <x:v>Not Started</x:v>
      </x:c>
      <x:c r="H10" s="18" t="n">
        <x:v>0</x:v>
      </x:c>
      <x:c r="I10" s="14" t="str"/>
      <x:c r="J10" s="14" t="str">
        <x:v>Reach 10 reviewed beta opportunities total</x:v>
      </x:c>
    </x:row>
    <x:row r="11" ht="52" customHeight="1">
      <x:c r="A11" s="14" t="n">
        <x:v>7</x:v>
      </x:c>
      <x:c r="B11" s="16" t="n">
        <x:v>46239</x:v>
      </x:c>
      <x:c r="C11" s="14" t="str">
        <x:v>Eligibility</x:v>
      </x:c>
      <x:c r="D11" s="14" t="str">
        <x:v>C1</x:v>
      </x:c>
      <x:c r="E11" s="14" t="str">
        <x:v>Deterministic atomic-rule evaluation with reason codes</x:v>
      </x:c>
      <x:c r="F11" s="14" t="str">
        <x:v>Golden profiles return correct pass/fail/missing/unknown states</x:v>
      </x:c>
      <x:c r="G11" s="14" t="str">
        <x:v>Not Started</x:v>
      </x:c>
      <x:c r="H11" s="18" t="n">
        <x:v>0</x:v>
      </x:c>
      <x:c r="I11" s="14" t="str"/>
      <x:c r="J11" s="14" t="str">
        <x:v>No probability or LLM decision</x:v>
      </x:c>
    </x:row>
    <x:row r="12" ht="52" customHeight="1">
      <x:c r="A12" s="14" t="n">
        <x:v>8</x:v>
      </x:c>
      <x:c r="B12" s="16" t="n">
        <x:v>46240</x:v>
      </x:c>
      <x:c r="C12" s="14" t="str">
        <x:v>Recommendations</x:v>
      </x:c>
      <x:c r="D12" s="14" t="str">
        <x:v>C2</x:v>
      </x:c>
      <x:c r="E12" s="14" t="str">
        <x:v>Candidate retrieval, versioned scoring and balanced portfolio</x:v>
      </x:c>
      <x:c r="F12" s="14" t="str">
        <x:v>Ranking is reproducible and passes regression/fairness checks</x:v>
      </x:c>
      <x:c r="G12" s="14" t="str">
        <x:v>Not Started</x:v>
      </x:c>
      <x:c r="H12" s="18" t="n">
        <x:v>0</x:v>
      </x:c>
      <x:c r="I12" s="14" t="str"/>
      <x:c r="J12" s="14" t="str">
        <x:v>Hard rules run before scores</x:v>
      </x:c>
    </x:row>
    <x:row r="13" ht="52" customHeight="1">
      <x:c r="A13" s="14" t="n">
        <x:v>9</x:v>
      </x:c>
      <x:c r="B13" s="16" t="n">
        <x:v>46241</x:v>
      </x:c>
      <x:c r="C13" s="14" t="str">
        <x:v>Report and discovery</x:v>
      </x:c>
      <x:c r="D13" s="14" t="str">
        <x:v>C3, D1</x:v>
      </x:c>
      <x:c r="E13" s="14" t="str">
        <x:v>Readiness pathways plus verified search and opportunity details</x:v>
      </x:c>
      <x:c r="F13" s="14" t="str">
        <x:v>Student sees evidence, gaps, next actions and source freshness</x:v>
      </x:c>
      <x:c r="G13" s="14" t="str">
        <x:v>Not Started</x:v>
      </x:c>
      <x:c r="H13" s="18" t="n">
        <x:v>0</x:v>
      </x:c>
      <x:c r="I13" s="14" t="str"/>
      <x:c r="J13" s="14" t="str">
        <x:v>Every claim links to approved facts</x:v>
      </x:c>
    </x:row>
    <x:row r="14" ht="52" customHeight="1">
      <x:c r="A14" s="14" t="n">
        <x:v>10</x:v>
      </x:c>
      <x:c r="B14" s="16" t="n">
        <x:v>46242</x:v>
      </x:c>
      <x:c r="C14" s="14" t="str">
        <x:v>Portfolio to application</x:v>
      </x:c>
      <x:c r="D14" s="14" t="str">
        <x:v>D2, E1</x:v>
      </x:c>
      <x:c r="E14" s="14" t="str">
        <x:v>Save/compare/portfolio and application requirement matrix</x:v>
      </x:c>
      <x:c r="F14" s="14" t="str">
        <x:v>A recommendation becomes a version-locked application plan</x:v>
      </x:c>
      <x:c r="G14" s="14" t="str">
        <x:v>Not Started</x:v>
      </x:c>
      <x:c r="H14" s="18" t="n">
        <x:v>0</x:v>
      </x:c>
      <x:c r="I14" s="14" t="str"/>
      <x:c r="J14" s="14" t="str">
        <x:v>Compare programmes and linked scholarships</x:v>
      </x:c>
    </x:row>
    <x:row r="15" ht="52" customHeight="1">
      <x:c r="A15" s="14" t="n">
        <x:v>11</x:v>
      </x:c>
      <x:c r="B15" s="16" t="n">
        <x:v>46243</x:v>
      </x:c>
      <x:c r="C15" s="14" t="str">
        <x:v>Execution</x:v>
      </x:c>
      <x:c r="D15" s="14" t="str">
        <x:v>E2, E3</x:v>
      </x:c>
      <x:c r="E15" s="14" t="str">
        <x:v>Generated tasks, deadlines and secure document requirement linking</x:v>
      </x:c>
      <x:c r="F15" s="14" t="str">
        <x:v>Task and document states update application readiness</x:v>
      </x:c>
      <x:c r="G15" s="14" t="str">
        <x:v>Not Started</x:v>
      </x:c>
      <x:c r="H15" s="18" t="n">
        <x:v>0</x:v>
      </x:c>
      <x:c r="I15" s="14" t="str"/>
      <x:c r="J15" s="14" t="str">
        <x:v>Signed storage access; no public files</x:v>
      </x:c>
    </x:row>
    <x:row r="16" ht="52" customHeight="1">
      <x:c r="A16" s="14" t="n">
        <x:v>12</x:v>
      </x:c>
      <x:c r="B16" s="16" t="n">
        <x:v>46244</x:v>
      </x:c>
      <x:c r="C16" s="14" t="str">
        <x:v>Operations and alerts</x:v>
      </x:c>
      <x:c r="D16" s="14" t="str">
        <x:v>F2, F3</x:v>
      </x:c>
      <x:c r="E16" s="14" t="str">
        <x:v>Admin health, corrections, support and change-impact notifications</x:v>
      </x:c>
      <x:c r="F16" s="14" t="str">
        <x:v>Changed deadline identifies and alerts affected test student</x:v>
      </x:c>
      <x:c r="G16" s="14" t="str">
        <x:v>Not Started</x:v>
      </x:c>
      <x:c r="H16" s="18" t="n">
        <x:v>0</x:v>
      </x:c>
      <x:c r="I16" s="14" t="str"/>
      <x:c r="J16" s="14" t="str">
        <x:v>Audit sensitive admin actions</x:v>
      </x:c>
    </x:row>
    <x:row r="17" ht="52" customHeight="1">
      <x:c r="A17" s="14" t="n">
        <x:v>13</x:v>
      </x:c>
      <x:c r="B17" s="16" t="n">
        <x:v>46245</x:v>
      </x:c>
      <x:c r="C17" s="14" t="str">
        <x:v>Beta-safe advanced tools</x:v>
      </x:c>
      <x:c r="D17" s="14" t="str">
        <x:v>E4, E5</x:v>
      </x:c>
      <x:c r="E17" s="14" t="str">
        <x:v>Evidence-led writing foundation and editable funding/offer scenarios</x:v>
      </x:c>
      <x:c r="F17" s="14" t="str">
        <x:v>No auto-final essay; every cost displays source/assumption</x:v>
      </x:c>
      <x:c r="G17" s="14" t="str">
        <x:v>Not Started</x:v>
      </x:c>
      <x:c r="H17" s="18" t="n">
        <x:v>0</x:v>
      </x:c>
      <x:c r="I17" s="14" t="str"/>
      <x:c r="J17" s="14" t="str">
        <x:v>Foundation depth only unless P0 is already green</x:v>
      </x:c>
    </x:row>
    <x:row r="18" ht="52" customHeight="1">
      <x:c r="A18" s="14" t="n">
        <x:v>14</x:v>
      </x:c>
      <x:c r="B18" s="16" t="n">
        <x:v>46246</x:v>
      </x:c>
      <x:c r="C18" s="14" t="str">
        <x:v>Release engineering</x:v>
      </x:c>
      <x:c r="D18" s="14" t="str">
        <x:v>G1</x:v>
      </x:c>
      <x:c r="E18" s="14" t="str">
        <x:v>Integrated QA, accessibility, security, observability and Vercel beta</x:v>
      </x:c>
      <x:c r="F18" s="14" t="str">
        <x:v>All critical gates pass; invite-only beta is live</x:v>
      </x:c>
      <x:c r="G18" s="14" t="str">
        <x:v>Not Started</x:v>
      </x:c>
      <x:c r="H18" s="18" t="n">
        <x:v>0</x:v>
      </x:c>
      <x:c r="I18" s="14" t="str"/>
      <x:c r="J18" s="14" t="str">
        <x:v>Ship only if no critical defect remains</x:v>
      </x:c>
    </x:row>
  </x:sheetData>
  <x:mergeCells>
    <x:mergeCell ref="A1:J1"/>
    <x:mergeCell ref="A2:J2"/>
  </x:mergeCells>
  <x:conditionalFormatting sqref="G5:G18">
    <x:cfRule type="containsText" dxfId="0" priority="1" operator="containsText" text="Done"/>
    <x:cfRule type="containsText" dxfId="1" priority="2" operator="containsText" text="In Progress"/>
    <x:cfRule type="containsText" dxfId="2" priority="3" operator="containsText" text="Ready Today"/>
    <x:cfRule type="containsText" dxfId="3" priority="4" operator="containsText" text="Blocked"/>
    <x:cfRule type="containsText" dxfId="4" priority="5" operator="containsText" text="In Review"/>
  </x:conditionalFormatting>
  <x:conditionalFormatting sqref="H5:H18">
    <x:cfRule type="dataBar" priority="6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{F88306AB-CCF3-3163-EF6F-0594C0FFF218}</x14:id>
        </x:ext>
      </x:extLst>
    </x:cfRule>
  </x:conditionalFormatting>
  <x:dataValidations count="2">
    <x:dataValidation type="list" sqref="G5:G18">
      <x:formula1>"Not Started,Ready Today,In Progress,In Review,Blocked,Done,Deferred"</x:formula1>
    </x:dataValidation>
    <x:dataValidation type="decimal" operator="between" sqref="H5:H18">
      <x:formula1>0</x:formula1>
      <x:formula2>1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9ee2569774d4fa0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6" id="{F88306AB-CCF3-3163-EF6F-0594C0FFF218}">
            <x14:dataBar gradient="1">
              <x14:cfvo type="min"/>
              <x14:cfvo type="max"/>
              <x14:fillColor rgb="FF2563EB"/>
            </x14:dataBar>
          </x14:cfRule>
          <xm:sqref>H5:H18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0" hidden="0" customWidth="1"/>
    <x:col min="3" max="3" width="34" hidden="0" customWidth="1"/>
    <x:col min="4" max="4" width="11" hidden="0" customWidth="1"/>
    <x:col min="5" max="5" width="16" hidden="0" customWidth="1"/>
    <x:col min="6" max="6" width="19" hidden="0" customWidth="1"/>
    <x:col min="7" max="7" width="11" hidden="0" customWidth="1"/>
    <x:col min="8" max="8" width="11" hidden="0" customWidth="1"/>
    <x:col min="9" max="9" width="16" hidden="0" customWidth="1"/>
    <x:col min="10" max="10" width="12" hidden="0" customWidth="1"/>
    <x:col min="11" max="11" width="25" hidden="0" customWidth="1"/>
    <x:col min="12" max="12" width="48" hidden="0" customWidth="1"/>
    <x:col min="13" max="13" width="25" hidden="0" customWidth="1"/>
    <x:col min="14" max="14" width="25" hidden="0" customWidth="1"/>
    <x:col min="15" max="15" width="30" hidden="0" customWidth="1"/>
  </x:cols>
  <x:sheetData>
    <x:row r="1" ht="34" customHeight="1">
      <x:c r="A1" s="3" t="str">
        <x:v>ScholarPath Module Register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28" customHeight="1">
      <x:c r="A2" s="6" t="str">
        <x:v>One source of truth for scope, dependencies, definition of done, status and evidence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</x:row>
    <x:row r="4" ht="30" customHeight="1">
      <x:c r="A4" s="9" t="str">
        <x:v>ID</x:v>
      </x:c>
      <x:c r="B4" s="9" t="str">
        <x:v>Layer</x:v>
      </x:c>
      <x:c r="C4" s="9" t="str">
        <x:v>Module</x:v>
      </x:c>
      <x:c r="D4" s="9" t="str">
        <x:v>Priority</x:v>
      </x:c>
      <x:c r="E4" s="9" t="str">
        <x:v>Beta depth</x:v>
      </x:c>
      <x:c r="F4" s="9" t="str">
        <x:v>Owner</x:v>
      </x:c>
      <x:c r="G4" s="9" t="str">
        <x:v>Start day</x:v>
      </x:c>
      <x:c r="H4" s="9" t="str">
        <x:v>Finish day</x:v>
      </x:c>
      <x:c r="I4" s="9" t="str">
        <x:v>Status</x:v>
      </x:c>
      <x:c r="J4" s="9" t="str">
        <x:v>Progress</x:v>
      </x:c>
      <x:c r="K4" s="9" t="str">
        <x:v>Dependencies</x:v>
      </x:c>
      <x:c r="L4" s="9" t="str">
        <x:v>Definition of done</x:v>
      </x:c>
      <x:c r="M4" s="9" t="str">
        <x:v>Evidence link</x:v>
      </x:c>
      <x:c r="N4" s="9" t="str">
        <x:v>Blocker</x:v>
      </x:c>
      <x:c r="O4" s="9" t="str">
        <x:v>Notes</x:v>
      </x:c>
    </x:row>
    <x:row r="5" ht="47" customHeight="1">
      <x:c r="A5" s="13" t="str">
        <x:v>UX0</x:v>
      </x:c>
      <x:c r="B5" s="13" t="str">
        <x:v>Foundation</x:v>
      </x:c>
      <x:c r="C5" s="13" t="str">
        <x:v>Student-first design system and shell</x:v>
      </x:c>
      <x:c r="D5" s="13" t="str">
        <x:v>P0</x:v>
      </x:c>
      <x:c r="E5" s="13" t="str">
        <x:v>Full beta</x:v>
      </x:c>
      <x:c r="F5" s="13" t="str">
        <x:v>Haidar + Codex</x:v>
      </x:c>
      <x:c r="G5" s="13" t="n">
        <x:v>1</x:v>
      </x:c>
      <x:c r="H5" s="13" t="n">
        <x:v>1</x:v>
      </x:c>
      <x:c r="I5" s="13" t="str">
        <x:v>Ready Today</x:v>
      </x:c>
      <x:c r="J5" s="17" t="n">
        <x:v>0</x:v>
      </x:c>
      <x:c r="K5" s="13" t="str">
        <x:v>VOIT DS</x:v>
      </x:c>
      <x:c r="L5" s="13" t="str">
        <x:v>Urbanist, readable scale, five-route shell and all core UI states</x:v>
      </x:c>
      <x:c r="M5" s="13" t="str"/>
      <x:c r="N5" s="13" t="str"/>
      <x:c r="O5" s="13" t="str">
        <x:v>Current prototype is discarded</x:v>
      </x:c>
    </x:row>
    <x:row r="6" ht="47" customHeight="1">
      <x:c r="A6" s="14" t="str">
        <x:v>A1</x:v>
      </x:c>
      <x:c r="B6" s="14" t="str">
        <x:v>Student foundation</x:v>
      </x:c>
      <x:c r="C6" s="14" t="str">
        <x:v>Account, identity, consent and security</x:v>
      </x:c>
      <x:c r="D6" s="14" t="str">
        <x:v>P0</x:v>
      </x:c>
      <x:c r="E6" s="14" t="str">
        <x:v>Full beta</x:v>
      </x:c>
      <x:c r="F6" s="14" t="str">
        <x:v>Codex</x:v>
      </x:c>
      <x:c r="G6" s="14" t="n">
        <x:v>1</x:v>
      </x:c>
      <x:c r="H6" s="14" t="n">
        <x:v>1</x:v>
      </x:c>
      <x:c r="I6" s="14" t="str">
        <x:v>Ready Today</x:v>
      </x:c>
      <x:c r="J6" s="18" t="n">
        <x:v>0</x:v>
      </x:c>
      <x:c r="K6" s="14" t="str">
        <x:v>F4</x:v>
      </x:c>
      <x:c r="L6" s="14" t="str">
        <x:v>Auth, sessions, roles and RLS isolation verified</x:v>
      </x:c>
      <x:c r="M6" s="14" t="str"/>
      <x:c r="N6" s="14" t="str"/>
      <x:c r="O6" s="14" t="str"/>
    </x:row>
    <x:row r="7" ht="47" customHeight="1">
      <x:c r="A7" s="14" t="str">
        <x:v>A2</x:v>
      </x:c>
      <x:c r="B7" s="14" t="str">
        <x:v>Student foundation</x:v>
      </x:c>
      <x:c r="C7" s="14" t="str">
        <x:v>Adaptive onboarding and goals</x:v>
      </x:c>
      <x:c r="D7" s="14" t="str">
        <x:v>P0</x:v>
      </x:c>
      <x:c r="E7" s="14" t="str">
        <x:v>Full beta</x:v>
      </x:c>
      <x:c r="F7" s="14" t="str">
        <x:v>Haidar + Codex</x:v>
      </x:c>
      <x:c r="G7" s="14" t="n">
        <x:v>2</x:v>
      </x:c>
      <x:c r="H7" s="14" t="n">
        <x:v>2</x:v>
      </x:c>
      <x:c r="I7" s="14" t="str">
        <x:v>Not Started</x:v>
      </x:c>
      <x:c r="J7" s="18" t="n">
        <x:v>0</x:v>
      </x:c>
      <x:c r="K7" s="14" t="str">
        <x:v>A1, B4</x:v>
      </x:c>
      <x:c r="L7" s="14" t="str">
        <x:v>Regional conditional flow saves, resumes and reviews answers</x:v>
      </x:c>
      <x:c r="M7" s="14" t="str"/>
      <x:c r="N7" s="14" t="str"/>
      <x:c r="O7" s="14" t="str"/>
    </x:row>
    <x:row r="8" ht="47" customHeight="1">
      <x:c r="A8" s="14" t="str">
        <x:v>A3</x:v>
      </x:c>
      <x:c r="B8" s="14" t="str">
        <x:v>Student foundation</x:v>
      </x:c>
      <x:c r="C8" s="14" t="str">
        <x:v>Profile and evidence graph</x:v>
      </x:c>
      <x:c r="D8" s="14" t="str">
        <x:v>P0</x:v>
      </x:c>
      <x:c r="E8" s="14" t="str">
        <x:v>Full beta</x:v>
      </x:c>
      <x:c r="F8" s="14" t="str">
        <x:v>Codex</x:v>
      </x:c>
      <x:c r="G8" s="14" t="n">
        <x:v>2</x:v>
      </x:c>
      <x:c r="H8" s="14" t="n">
        <x:v>2</x:v>
      </x:c>
      <x:c r="I8" s="14" t="str">
        <x:v>Not Started</x:v>
      </x:c>
      <x:c r="J8" s="18" t="n">
        <x:v>0</x:v>
      </x:c>
      <x:c r="K8" s="14" t="str">
        <x:v>A1, A2</x:v>
      </x:c>
      <x:c r="L8" s="14" t="str">
        <x:v>Versioned facts, missing evidence and profile snapshot persist</x:v>
      </x:c>
      <x:c r="M8" s="14" t="str"/>
      <x:c r="N8" s="14" t="str"/>
      <x:c r="O8" s="14" t="str"/>
    </x:row>
    <x:row r="9" ht="47" customHeight="1">
      <x:c r="A9" s="14" t="str">
        <x:v>A4</x:v>
      </x:c>
      <x:c r="B9" s="14" t="str">
        <x:v>Student foundation</x:v>
      </x:c>
      <x:c r="C9" s="14" t="str">
        <x:v>Academic context and normalization</x:v>
      </x:c>
      <x:c r="D9" s="14" t="str">
        <x:v>P0</x:v>
      </x:c>
      <x:c r="E9" s="14" t="str">
        <x:v>Full beta</x:v>
      </x:c>
      <x:c r="F9" s="14" t="str">
        <x:v>Haidar + Codex</x:v>
      </x:c>
      <x:c r="G9" s="14" t="n">
        <x:v>3</x:v>
      </x:c>
      <x:c r="H9" s="14" t="n">
        <x:v>3</x:v>
      </x:c>
      <x:c r="I9" s="14" t="str">
        <x:v>Not Started</x:v>
      </x:c>
      <x:c r="J9" s="18" t="n">
        <x:v>0</x:v>
      </x:c>
      <x:c r="K9" s="14" t="str">
        <x:v>A3, B4</x:v>
      </x:c>
      <x:c r="L9" s="14" t="str">
        <x:v>Original grades preserved and equivalency uncertainty visible</x:v>
      </x:c>
      <x:c r="M9" s="14" t="str"/>
      <x:c r="N9" s="14" t="str"/>
      <x:c r="O9" s="14" t="str"/>
    </x:row>
    <x:row r="10" ht="47" customHeight="1">
      <x:c r="A10" s="14" t="str">
        <x:v>B1</x:v>
      </x:c>
      <x:c r="B10" s="14" t="str">
        <x:v>Education knowledge</x:v>
      </x:c>
      <x:c r="C10" s="14" t="str">
        <x:v>Institution and programme catalogue</x:v>
      </x:c>
      <x:c r="D10" s="14" t="str">
        <x:v>P0</x:v>
      </x:c>
      <x:c r="E10" s="14" t="str">
        <x:v>Full beta</x:v>
      </x:c>
      <x:c r="F10" s="14" t="str">
        <x:v>Codex</x:v>
      </x:c>
      <x:c r="G10" s="14" t="n">
        <x:v>5</x:v>
      </x:c>
      <x:c r="H10" s="14" t="n">
        <x:v>5</x:v>
      </x:c>
      <x:c r="I10" s="14" t="str">
        <x:v>Not Started</x:v>
      </x:c>
      <x:c r="J10" s="18" t="n">
        <x:v>0</x:v>
      </x:c>
      <x:c r="K10" s="14" t="str">
        <x:v>B3, B4</x:v>
      </x:c>
      <x:c r="L10" s="14" t="str">
        <x:v>Five source-backed programmes publish with intake versions</x:v>
      </x:c>
      <x:c r="M10" s="14" t="str"/>
      <x:c r="N10" s="14" t="str"/>
      <x:c r="O10" s="14" t="str"/>
    </x:row>
    <x:row r="11" ht="47" customHeight="1">
      <x:c r="A11" s="14" t="str">
        <x:v>B2</x:v>
      </x:c>
      <x:c r="B11" s="14" t="str">
        <x:v>Education knowledge</x:v>
      </x:c>
      <x:c r="C11" s="14" t="str">
        <x:v>Scholarship and funding catalogue</x:v>
      </x:c>
      <x:c r="D11" s="14" t="str">
        <x:v>P0</x:v>
      </x:c>
      <x:c r="E11" s="14" t="str">
        <x:v>Full beta</x:v>
      </x:c>
      <x:c r="F11" s="14" t="str">
        <x:v>Codex</x:v>
      </x:c>
      <x:c r="G11" s="14" t="n">
        <x:v>6</x:v>
      </x:c>
      <x:c r="H11" s="14" t="n">
        <x:v>6</x:v>
      </x:c>
      <x:c r="I11" s="14" t="str">
        <x:v>Not Started</x:v>
      </x:c>
      <x:c r="J11" s="18" t="n">
        <x:v>0</x:v>
      </x:c>
      <x:c r="K11" s="14" t="str">
        <x:v>B1, B3, B4</x:v>
      </x:c>
      <x:c r="L11" s="14" t="str">
        <x:v>Five cycle-specific scholarships publish with dependency links</x:v>
      </x:c>
      <x:c r="M11" s="14" t="str"/>
      <x:c r="N11" s="14" t="str"/>
      <x:c r="O11" s="14" t="str"/>
    </x:row>
    <x:row r="12" ht="47" customHeight="1">
      <x:c r="A12" s="14" t="str">
        <x:v>B3</x:v>
      </x:c>
      <x:c r="B12" s="14" t="str">
        <x:v>Education knowledge</x:v>
      </x:c>
      <x:c r="C12" s="14" t="str">
        <x:v>Source registry and atomic facts</x:v>
      </x:c>
      <x:c r="D12" s="14" t="str">
        <x:v>P0</x:v>
      </x:c>
      <x:c r="E12" s="14" t="str">
        <x:v>Full beta</x:v>
      </x:c>
      <x:c r="F12" s="14" t="str">
        <x:v>Codex</x:v>
      </x:c>
      <x:c r="G12" s="14" t="n">
        <x:v>4</x:v>
      </x:c>
      <x:c r="H12" s="14" t="n">
        <x:v>4</x:v>
      </x:c>
      <x:c r="I12" s="14" t="str">
        <x:v>Not Started</x:v>
      </x:c>
      <x:c r="J12" s="18" t="n">
        <x:v>0</x:v>
      </x:c>
      <x:c r="K12" s="14" t="str">
        <x:v>F4</x:v>
      </x:c>
      <x:c r="L12" s="14" t="str">
        <x:v>Facts keep source, locator, effective date, state and versions</x:v>
      </x:c>
      <x:c r="M12" s="14" t="str"/>
      <x:c r="N12" s="14" t="str"/>
      <x:c r="O12" s="14" t="str"/>
    </x:row>
    <x:row r="13" ht="47" customHeight="1">
      <x:c r="A13" s="14" t="str">
        <x:v>B4</x:v>
      </x:c>
      <x:c r="B13" s="14" t="str">
        <x:v>Education knowledge</x:v>
      </x:c>
      <x:c r="C13" s="14" t="str">
        <x:v>Taxonomy and rule library</x:v>
      </x:c>
      <x:c r="D13" s="14" t="str">
        <x:v>P0</x:v>
      </x:c>
      <x:c r="E13" s="14" t="str">
        <x:v>Full beta</x:v>
      </x:c>
      <x:c r="F13" s="14" t="str">
        <x:v>Haidar + Codex</x:v>
      </x:c>
      <x:c r="G13" s="14" t="n">
        <x:v>3</x:v>
      </x:c>
      <x:c r="H13" s="14" t="n">
        <x:v>3</x:v>
      </x:c>
      <x:c r="I13" s="14" t="str">
        <x:v>Not Started</x:v>
      </x:c>
      <x:c r="J13" s="18" t="n">
        <x:v>0</x:v>
      </x:c>
      <x:c r="K13" s="14" t="str">
        <x:v>F4</x:v>
      </x:c>
      <x:c r="L13" s="14" t="str">
        <x:v>Controlled regional taxonomies and rule templates pass tests</x:v>
      </x:c>
      <x:c r="M13" s="14" t="str"/>
      <x:c r="N13" s="14" t="str"/>
      <x:c r="O13" s="14" t="str"/>
    </x:row>
    <x:row r="14" ht="47" customHeight="1">
      <x:c r="A14" s="14" t="str">
        <x:v>C1</x:v>
      </x:c>
      <x:c r="B14" s="14" t="str">
        <x:v>Decision intelligence</x:v>
      </x:c>
      <x:c r="C14" s="14" t="str">
        <x:v>Deterministic eligibility engine</x:v>
      </x:c>
      <x:c r="D14" s="14" t="str">
        <x:v>P0</x:v>
      </x:c>
      <x:c r="E14" s="14" t="str">
        <x:v>Full beta</x:v>
      </x:c>
      <x:c r="F14" s="14" t="str">
        <x:v>Codex</x:v>
      </x:c>
      <x:c r="G14" s="14" t="n">
        <x:v>7</x:v>
      </x:c>
      <x:c r="H14" s="14" t="n">
        <x:v>7</x:v>
      </x:c>
      <x:c r="I14" s="14" t="str">
        <x:v>Not Started</x:v>
      </x:c>
      <x:c r="J14" s="18" t="n">
        <x:v>0</x:v>
      </x:c>
      <x:c r="K14" s="14" t="str">
        <x:v>A3, A4, B1, B2, B4</x:v>
      </x:c>
      <x:c r="L14" s="14" t="str">
        <x:v>Atomic rules produce reproducible reason-coded outcomes</x:v>
      </x:c>
      <x:c r="M14" s="14" t="str"/>
      <x:c r="N14" s="14" t="str"/>
      <x:c r="O14" s="14" t="str"/>
    </x:row>
    <x:row r="15" ht="47" customHeight="1">
      <x:c r="A15" s="14" t="str">
        <x:v>C2</x:v>
      </x:c>
      <x:c r="B15" s="14" t="str">
        <x:v>Decision intelligence</x:v>
      </x:c>
      <x:c r="C15" s="14" t="str">
        <x:v>Explainable recommendation engine</x:v>
      </x:c>
      <x:c r="D15" s="14" t="str">
        <x:v>P0</x:v>
      </x:c>
      <x:c r="E15" s="14" t="str">
        <x:v>Full beta</x:v>
      </x:c>
      <x:c r="F15" s="14" t="str">
        <x:v>Codex</x:v>
      </x:c>
      <x:c r="G15" s="14" t="n">
        <x:v>8</x:v>
      </x:c>
      <x:c r="H15" s="14" t="n">
        <x:v>8</x:v>
      </x:c>
      <x:c r="I15" s="14" t="str">
        <x:v>Not Started</x:v>
      </x:c>
      <x:c r="J15" s="18" t="n">
        <x:v>0</x:v>
      </x:c>
      <x:c r="K15" s="14" t="str">
        <x:v>C1</x:v>
      </x:c>
      <x:c r="L15" s="14" t="str">
        <x:v>Eligible candidates score, balance and explain reproducibly</x:v>
      </x:c>
      <x:c r="M15" s="14" t="str"/>
      <x:c r="N15" s="14" t="str"/>
      <x:c r="O15" s="14" t="str"/>
    </x:row>
    <x:row r="16" ht="47" customHeight="1">
      <x:c r="A16" s="14" t="str">
        <x:v>C3</x:v>
      </x:c>
      <x:c r="B16" s="14" t="str">
        <x:v>Decision intelligence</x:v>
      </x:c>
      <x:c r="C16" s="14" t="str">
        <x:v>Readiness report and pathway planner</x:v>
      </x:c>
      <x:c r="D16" s="14" t="str">
        <x:v>P0</x:v>
      </x:c>
      <x:c r="E16" s="14" t="str">
        <x:v>Full beta</x:v>
      </x:c>
      <x:c r="F16" s="14" t="str">
        <x:v>Haidar + Codex</x:v>
      </x:c>
      <x:c r="G16" s="14" t="n">
        <x:v>9</x:v>
      </x:c>
      <x:c r="H16" s="14" t="n">
        <x:v>9</x:v>
      </x:c>
      <x:c r="I16" s="14" t="str">
        <x:v>Not Started</x:v>
      </x:c>
      <x:c r="J16" s="18" t="n">
        <x:v>0</x:v>
      </x:c>
      <x:c r="K16" s="14" t="str">
        <x:v>C1, C2</x:v>
      </x:c>
      <x:c r="L16" s="14" t="str">
        <x:v>Report shows evidence, blockers, alternatives and next actions</x:v>
      </x:c>
      <x:c r="M16" s="14" t="str"/>
      <x:c r="N16" s="14" t="str"/>
      <x:c r="O16" s="14" t="str"/>
    </x:row>
    <x:row r="17" ht="47" customHeight="1">
      <x:c r="A17" s="14" t="str">
        <x:v>D1</x:v>
      </x:c>
      <x:c r="B17" s="14" t="str">
        <x:v>Discovery</x:v>
      </x:c>
      <x:c r="C17" s="14" t="str">
        <x:v>Verified discovery and details</x:v>
      </x:c>
      <x:c r="D17" s="14" t="str">
        <x:v>P0</x:v>
      </x:c>
      <x:c r="E17" s="14" t="str">
        <x:v>Full beta</x:v>
      </x:c>
      <x:c r="F17" s="14" t="str">
        <x:v>Codex</x:v>
      </x:c>
      <x:c r="G17" s="14" t="n">
        <x:v>9</x:v>
      </x:c>
      <x:c r="H17" s="14" t="n">
        <x:v>9</x:v>
      </x:c>
      <x:c r="I17" s="14" t="str">
        <x:v>Not Started</x:v>
      </x:c>
      <x:c r="J17" s="18" t="n">
        <x:v>0</x:v>
      </x:c>
      <x:c r="K17" s="14" t="str">
        <x:v>B1, B2, C1</x:v>
      </x:c>
      <x:c r="L17" s="14" t="str">
        <x:v>Search and details expose match, conditions, freshness and sources</x:v>
      </x:c>
      <x:c r="M17" s="14" t="str"/>
      <x:c r="N17" s="14" t="str"/>
      <x:c r="O17" s="14" t="str"/>
    </x:row>
    <x:row r="18" ht="47" customHeight="1">
      <x:c r="A18" s="14" t="str">
        <x:v>D2</x:v>
      </x:c>
      <x:c r="B18" s="14" t="str">
        <x:v>Discovery</x:v>
      </x:c>
      <x:c r="C18" s="14" t="str">
        <x:v>Save, compare and portfolio</x:v>
      </x:c>
      <x:c r="D18" s="14" t="str">
        <x:v>P0</x:v>
      </x:c>
      <x:c r="E18" s="14" t="str">
        <x:v>Full beta</x:v>
      </x:c>
      <x:c r="F18" s="14" t="str">
        <x:v>Codex</x:v>
      </x:c>
      <x:c r="G18" s="14" t="n">
        <x:v>10</x:v>
      </x:c>
      <x:c r="H18" s="14" t="n">
        <x:v>10</x:v>
      </x:c>
      <x:c r="I18" s="14" t="str">
        <x:v>Not Started</x:v>
      </x:c>
      <x:c r="J18" s="18" t="n">
        <x:v>0</x:v>
      </x:c>
      <x:c r="K18" s="14" t="str">
        <x:v>D1, C2</x:v>
      </x:c>
      <x:c r="L18" s="14" t="str">
        <x:v>Student saves, compares and sees balance warnings</x:v>
      </x:c>
      <x:c r="M18" s="14" t="str"/>
      <x:c r="N18" s="14" t="str"/>
      <x:c r="O18" s="14" t="str"/>
    </x:row>
    <x:row r="19" ht="47" customHeight="1">
      <x:c r="A19" s="14" t="str">
        <x:v>E1</x:v>
      </x:c>
      <x:c r="B19" s="14" t="str">
        <x:v>Execution</x:v>
      </x:c>
      <x:c r="C19" s="14" t="str">
        <x:v>Application workspace and requirements</x:v>
      </x:c>
      <x:c r="D19" s="14" t="str">
        <x:v>P1</x:v>
      </x:c>
      <x:c r="E19" s="14" t="str">
        <x:v>Beta core</x:v>
      </x:c>
      <x:c r="F19" s="14" t="str">
        <x:v>Codex</x:v>
      </x:c>
      <x:c r="G19" s="14" t="n">
        <x:v>10</x:v>
      </x:c>
      <x:c r="H19" s="14" t="n">
        <x:v>10</x:v>
      </x:c>
      <x:c r="I19" s="14" t="str">
        <x:v>Not Started</x:v>
      </x:c>
      <x:c r="J19" s="18" t="n">
        <x:v>0</x:v>
      </x:c>
      <x:c r="K19" s="14" t="str">
        <x:v>D2</x:v>
      </x:c>
      <x:c r="L19" s="14" t="str">
        <x:v>Saved result becomes a versioned application requirement matrix</x:v>
      </x:c>
      <x:c r="M19" s="14" t="str"/>
      <x:c r="N19" s="14" t="str"/>
      <x:c r="O19" s="14" t="str"/>
    </x:row>
    <x:row r="20" ht="47" customHeight="1">
      <x:c r="A20" s="14" t="str">
        <x:v>E2</x:v>
      </x:c>
      <x:c r="B20" s="14" t="str">
        <x:v>Execution</x:v>
      </x:c>
      <x:c r="C20" s="14" t="str">
        <x:v>Tasks, calendar and deadlines</x:v>
      </x:c>
      <x:c r="D20" s="14" t="str">
        <x:v>P1</x:v>
      </x:c>
      <x:c r="E20" s="14" t="str">
        <x:v>Beta core</x:v>
      </x:c>
      <x:c r="F20" s="14" t="str">
        <x:v>Codex</x:v>
      </x:c>
      <x:c r="G20" s="14" t="n">
        <x:v>11</x:v>
      </x:c>
      <x:c r="H20" s="14" t="n">
        <x:v>11</x:v>
      </x:c>
      <x:c r="I20" s="14" t="str">
        <x:v>Not Started</x:v>
      </x:c>
      <x:c r="J20" s="18" t="n">
        <x:v>0</x:v>
      </x:c>
      <x:c r="K20" s="14" t="str">
        <x:v>E1</x:v>
      </x:c>
      <x:c r="L20" s="14" t="str">
        <x:v>Requirements create traceable tasks with dependencies</x:v>
      </x:c>
      <x:c r="M20" s="14" t="str"/>
      <x:c r="N20" s="14" t="str"/>
      <x:c r="O20" s="14" t="str"/>
    </x:row>
    <x:row r="21" ht="47" customHeight="1">
      <x:c r="A21" s="14" t="str">
        <x:v>E3</x:v>
      </x:c>
      <x:c r="B21" s="14" t="str">
        <x:v>Execution</x:v>
      </x:c>
      <x:c r="C21" s="14" t="str">
        <x:v>Document vault and linking</x:v>
      </x:c>
      <x:c r="D21" s="14" t="str">
        <x:v>P1</x:v>
      </x:c>
      <x:c r="E21" s="14" t="str">
        <x:v>Beta core</x:v>
      </x:c>
      <x:c r="F21" s="14" t="str">
        <x:v>Codex</x:v>
      </x:c>
      <x:c r="G21" s="14" t="n">
        <x:v>11</x:v>
      </x:c>
      <x:c r="H21" s="14" t="n">
        <x:v>11</x:v>
      </x:c>
      <x:c r="I21" s="14" t="str">
        <x:v>Not Started</x:v>
      </x:c>
      <x:c r="J21" s="18" t="n">
        <x:v>0</x:v>
      </x:c>
      <x:c r="K21" s="14" t="str">
        <x:v>A1, E1</x:v>
      </x:c>
      <x:c r="L21" s="14" t="str">
        <x:v>Private versioned upload links to requirement acceptance</x:v>
      </x:c>
      <x:c r="M21" s="14" t="str"/>
      <x:c r="N21" s="14" t="str"/>
      <x:c r="O21" s="14" t="str"/>
    </x:row>
    <x:row r="22" ht="47" customHeight="1">
      <x:c r="A22" s="14" t="str">
        <x:v>E4</x:v>
      </x:c>
      <x:c r="B22" s="14" t="str">
        <x:v>Execution</x:v>
      </x:c>
      <x:c r="C22" s="14" t="str">
        <x:v>Writing and recommender workspace</x:v>
      </x:c>
      <x:c r="D22" s="14" t="str">
        <x:v>Later</x:v>
      </x:c>
      <x:c r="E22" s="14" t="str">
        <x:v>Foundation only</x:v>
      </x:c>
      <x:c r="F22" s="14" t="str">
        <x:v>Codex</x:v>
      </x:c>
      <x:c r="G22" s="14" t="n">
        <x:v>13</x:v>
      </x:c>
      <x:c r="H22" s="14" t="n">
        <x:v>13</x:v>
      </x:c>
      <x:c r="I22" s="14" t="str">
        <x:v>Not Started</x:v>
      </x:c>
      <x:c r="J22" s="18" t="n">
        <x:v>0</x:v>
      </x:c>
      <x:c r="K22" s="14" t="str">
        <x:v>E1, E3</x:v>
      </x:c>
      <x:c r="L22" s="14" t="str">
        <x:v>Evidence-led draft shell; no automatic final submissions</x:v>
      </x:c>
      <x:c r="M22" s="14" t="str"/>
      <x:c r="N22" s="14" t="str"/>
      <x:c r="O22" s="14" t="str">
        <x:v>Do not risk P0 delivery</x:v>
      </x:c>
    </x:row>
    <x:row r="23" ht="47" customHeight="1">
      <x:c r="A23" s="14" t="str">
        <x:v>E5</x:v>
      </x:c>
      <x:c r="B23" s="14" t="str">
        <x:v>Execution</x:v>
      </x:c>
      <x:c r="C23" s="14" t="str">
        <x:v>Funding, ROI, offers and decisions</x:v>
      </x:c>
      <x:c r="D23" s="14" t="str">
        <x:v>Later</x:v>
      </x:c>
      <x:c r="E23" s="14" t="str">
        <x:v>Foundation only</x:v>
      </x:c>
      <x:c r="F23" s="14" t="str">
        <x:v>Haidar + Codex</x:v>
      </x:c>
      <x:c r="G23" s="14" t="n">
        <x:v>13</x:v>
      </x:c>
      <x:c r="H23" s="14" t="n">
        <x:v>13</x:v>
      </x:c>
      <x:c r="I23" s="14" t="str">
        <x:v>Not Started</x:v>
      </x:c>
      <x:c r="J23" s="18" t="n">
        <x:v>0</x:v>
      </x:c>
      <x:c r="K23" s="14" t="str">
        <x:v>B2, E1</x:v>
      </x:c>
      <x:c r="L23" s="14" t="str">
        <x:v>Editable cost/funding scenarios show gaps and assumptions</x:v>
      </x:c>
      <x:c r="M23" s="14" t="str"/>
      <x:c r="N23" s="14" t="str"/>
      <x:c r="O23" s="14" t="str">
        <x:v>Do not risk P0 delivery</x:v>
      </x:c>
    </x:row>
    <x:row r="24" ht="47" customHeight="1">
      <x:c r="A24" s="14" t="str">
        <x:v>F1</x:v>
      </x:c>
      <x:c r="B24" s="14" t="str">
        <x:v>Operations</x:v>
      </x:c>
      <x:c r="C24" s="14" t="str">
        <x:v>Research review and publication</x:v>
      </x:c>
      <x:c r="D24" s="14" t="str">
        <x:v>P0</x:v>
      </x:c>
      <x:c r="E24" s="14" t="str">
        <x:v>Full beta</x:v>
      </x:c>
      <x:c r="F24" s="14" t="str">
        <x:v>Haidar + Codex</x:v>
      </x:c>
      <x:c r="G24" s="14" t="n">
        <x:v>4</x:v>
      </x:c>
      <x:c r="H24" s="14" t="n">
        <x:v>4</x:v>
      </x:c>
      <x:c r="I24" s="14" t="str">
        <x:v>Not Started</x:v>
      </x:c>
      <x:c r="J24" s="18" t="n">
        <x:v>0</x:v>
      </x:c>
      <x:c r="K24" s="14" t="str">
        <x:v>B3</x:v>
      </x:c>
      <x:c r="L24" s="14" t="str">
        <x:v>Independent review, diff, publish and rollback work</x:v>
      </x:c>
      <x:c r="M24" s="14" t="str"/>
      <x:c r="N24" s="14" t="str"/>
      <x:c r="O24" s="14" t="str">
        <x:v>Research Reviewer signs material facts</x:v>
      </x:c>
    </x:row>
    <x:row r="25" ht="47" customHeight="1">
      <x:c r="A25" s="14" t="str">
        <x:v>F2</x:v>
      </x:c>
      <x:c r="B25" s="14" t="str">
        <x:v>Operations</x:v>
      </x:c>
      <x:c r="C25" s="14" t="str">
        <x:v>Admin, support and analytics</x:v>
      </x:c>
      <x:c r="D25" s="14" t="str">
        <x:v>P0</x:v>
      </x:c>
      <x:c r="E25" s="14" t="str">
        <x:v>Beta core</x:v>
      </x:c>
      <x:c r="F25" s="14" t="str">
        <x:v>Codex</x:v>
      </x:c>
      <x:c r="G25" s="14" t="n">
        <x:v>12</x:v>
      </x:c>
      <x:c r="H25" s="14" t="n">
        <x:v>12</x:v>
      </x:c>
      <x:c r="I25" s="14" t="str">
        <x:v>Not Started</x:v>
      </x:c>
      <x:c r="J25" s="18" t="n">
        <x:v>0</x:v>
      </x:c>
      <x:c r="K25" s="14" t="str">
        <x:v>A1, F1</x:v>
      </x:c>
      <x:c r="L25" s="14" t="str">
        <x:v>Operators see source health, corrections and audited access</x:v>
      </x:c>
      <x:c r="M25" s="14" t="str"/>
      <x:c r="N25" s="14" t="str"/>
      <x:c r="O25" s="14" t="str"/>
    </x:row>
    <x:row r="26" ht="47" customHeight="1">
      <x:c r="A26" s="14" t="str">
        <x:v>F3</x:v>
      </x:c>
      <x:c r="B26" s="14" t="str">
        <x:v>Operations</x:v>
      </x:c>
      <x:c r="C26" s="14" t="str">
        <x:v>Notifications and change impact</x:v>
      </x:c>
      <x:c r="D26" s="14" t="str">
        <x:v>P1</x:v>
      </x:c>
      <x:c r="E26" s="14" t="str">
        <x:v>Beta core</x:v>
      </x:c>
      <x:c r="F26" s="14" t="str">
        <x:v>Codex</x:v>
      </x:c>
      <x:c r="G26" s="14" t="n">
        <x:v>12</x:v>
      </x:c>
      <x:c r="H26" s="14" t="n">
        <x:v>12</x:v>
      </x:c>
      <x:c r="I26" s="14" t="str">
        <x:v>Not Started</x:v>
      </x:c>
      <x:c r="J26" s="18" t="n">
        <x:v>0</x:v>
      </x:c>
      <x:c r="K26" s="14" t="str">
        <x:v>B3, E1, E2</x:v>
      </x:c>
      <x:c r="L26" s="14" t="str">
        <x:v>Changed facts find affected users and deliver actionable alerts</x:v>
      </x:c>
      <x:c r="M26" s="14" t="str"/>
      <x:c r="N26" s="14" t="str"/>
      <x:c r="O26" s="14" t="str"/>
    </x:row>
    <x:row r="27" ht="47" customHeight="1">
      <x:c r="A27" s="14" t="str">
        <x:v>F4</x:v>
      </x:c>
      <x:c r="B27" s="14" t="str">
        <x:v>Platform</x:v>
      </x:c>
      <x:c r="C27" s="14" t="str">
        <x:v>Shared API and future iOS foundation</x:v>
      </x:c>
      <x:c r="D27" s="14" t="str">
        <x:v>Foundation</x:v>
      </x:c>
      <x:c r="E27" s="14" t="str">
        <x:v>Full beta</x:v>
      </x:c>
      <x:c r="F27" s="14" t="str">
        <x:v>Codex</x:v>
      </x:c>
      <x:c r="G27" s="14" t="n">
        <x:v>1</x:v>
      </x:c>
      <x:c r="H27" s="14" t="n">
        <x:v>1</x:v>
      </x:c>
      <x:c r="I27" s="14" t="str">
        <x:v>Ready Today</x:v>
      </x:c>
      <x:c r="J27" s="18" t="n">
        <x:v>0</x:v>
      </x:c>
      <x:c r="K27" s="14" t="str">
        <x:v>Architecture</x:v>
      </x:c>
      <x:c r="L27" s="14" t="str">
        <x:v>Versioned typed services power web and future iOS</x:v>
      </x:c>
      <x:c r="M27" s="14" t="str"/>
      <x:c r="N27" s="14" t="str"/>
      <x:c r="O27" s="14" t="str">
        <x:v>No separate iOS logic</x:v>
      </x:c>
    </x:row>
    <x:row r="28" ht="47" customHeight="1">
      <x:c r="A28" s="14" t="str">
        <x:v>G1</x:v>
      </x:c>
      <x:c r="B28" s="14" t="str">
        <x:v>Platform</x:v>
      </x:c>
      <x:c r="C28" s="14" t="str">
        <x:v>Release engineering and QA</x:v>
      </x:c>
      <x:c r="D28" s="14" t="str">
        <x:v>P0</x:v>
      </x:c>
      <x:c r="E28" s="14" t="str">
        <x:v>Full beta</x:v>
      </x:c>
      <x:c r="F28" s="14" t="str">
        <x:v>Haidar + Codex</x:v>
      </x:c>
      <x:c r="G28" s="14" t="n">
        <x:v>14</x:v>
      </x:c>
      <x:c r="H28" s="14" t="n">
        <x:v>14</x:v>
      </x:c>
      <x:c r="I28" s="14" t="str">
        <x:v>Not Started</x:v>
      </x:c>
      <x:c r="J28" s="18" t="n">
        <x:v>0</x:v>
      </x:c>
      <x:c r="K28" s="14" t="str">
        <x:v>All P0</x:v>
      </x:c>
      <x:c r="L28" s="14" t="str">
        <x:v>Tests, security, accessibility, monitoring and deployment pass</x:v>
      </x:c>
      <x:c r="M28" s="14" t="str"/>
      <x:c r="N28" s="14" t="str"/>
      <x:c r="O28" s="14" t="str">
        <x:v>Invite-only release</x:v>
      </x:c>
    </x:row>
  </x:sheetData>
  <x:mergeCells>
    <x:mergeCell ref="A1:O1"/>
    <x:mergeCell ref="A2:O2"/>
  </x:mergeCells>
  <x:conditionalFormatting sqref="I5:I28">
    <x:cfRule type="containsText" dxfId="5" priority="1" operator="containsText" text="Done"/>
    <x:cfRule type="containsText" dxfId="6" priority="2" operator="containsText" text="In Progress"/>
    <x:cfRule type="containsText" dxfId="7" priority="3" operator="containsText" text="Ready Today"/>
    <x:cfRule type="containsText" dxfId="8" priority="4" operator="containsText" text="Blocked"/>
    <x:cfRule type="containsText" dxfId="9" priority="5" operator="containsText" text="In Review"/>
  </x:conditionalFormatting>
  <x:conditionalFormatting sqref="J5:J28">
    <x:cfRule type="dataBar" priority="6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{DB3B0B1C-743D-6A14-6BEB-9F0505F4F985}</x14:id>
        </x:ext>
      </x:extLst>
    </x:cfRule>
  </x:conditionalFormatting>
  <x:dataValidations count="4">
    <x:dataValidation type="list" sqref="D5:D28">
      <x:formula1>"P0,P1,Foundation,Later"</x:formula1>
    </x:dataValidation>
    <x:dataValidation type="list" sqref="F5:F28">
      <x:formula1>"Haidar,Codex,Haidar + Codex,Research Reviewer"</x:formula1>
    </x:dataValidation>
    <x:dataValidation type="list" sqref="I5:I28">
      <x:formula1>"Not Started,Ready Today,In Progress,In Review,Blocked,Done,Deferred"</x:formula1>
    </x:dataValidation>
    <x:dataValidation type="decimal" operator="between" sqref="J5:J28">
      <x:formula1>0</x:formula1>
      <x:formula2>1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e6fe447070d4eab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6" id="{DB3B0B1C-743D-6A14-6BEB-9F0505F4F985}">
            <x14:dataBar gradient="1">
              <x14:cfvo type="min"/>
              <x14:cfvo type="max"/>
              <x14:fillColor rgb="FF2563EB"/>
            </x14:dataBar>
          </x14:cfRule>
          <xm:sqref>J5:J28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9" hidden="0" customWidth="1"/>
    <x:col min="3" max="3" width="44" hidden="0" customWidth="1"/>
    <x:col min="4" max="4" width="11" hidden="0" customWidth="1"/>
    <x:col min="5" max="5" width="16" hidden="0" customWidth="1"/>
    <x:col min="6" max="6" width="24" hidden="0" customWidth="1"/>
    <x:col min="7" max="7" width="42" hidden="0" customWidth="1"/>
    <x:col min="8" max="8" width="28" hidden="0" customWidth="1"/>
  </x:cols>
  <x:sheetData>
    <x:row r="1" ht="34" customHeight="1">
      <x:c r="A1" s="3" t="str">
        <x:v>ScholarPath Beta Release Gates</x:v>
      </x:c>
      <x:c r="B1" s="3"/>
      <x:c r="C1" s="3"/>
      <x:c r="D1" s="3"/>
      <x:c r="E1" s="3"/>
      <x:c r="F1" s="3"/>
      <x:c r="G1" s="3"/>
      <x:c r="H1" s="3"/>
    </x:row>
    <x:row r="2" ht="28" customHeight="1">
      <x:c r="A2" s="6" t="str">
        <x:v>The beta does not launch until every P0 gate is Done with evidence</x:v>
      </x:c>
      <x:c r="B2" s="6"/>
      <x:c r="C2" s="6"/>
      <x:c r="D2" s="6"/>
      <x:c r="E2" s="6"/>
      <x:c r="F2" s="6"/>
      <x:c r="G2" s="6"/>
      <x:c r="H2" s="6"/>
    </x:row>
    <x:row r="4" ht="30" customHeight="1">
      <x:c r="A4" s="9" t="str">
        <x:v>Gate</x:v>
      </x:c>
      <x:c r="B4" s="9" t="str">
        <x:v>Area</x:v>
      </x:c>
      <x:c r="C4" s="9" t="str">
        <x:v>Release condition</x:v>
      </x:c>
      <x:c r="D4" s="9" t="str">
        <x:v>Priority</x:v>
      </x:c>
      <x:c r="E4" s="9" t="str">
        <x:v>Status</x:v>
      </x:c>
      <x:c r="F4" s="9" t="str">
        <x:v>Dependencies</x:v>
      </x:c>
      <x:c r="G4" s="9" t="str">
        <x:v>Acceptance evidence</x:v>
      </x:c>
      <x:c r="H4" s="9" t="str">
        <x:v>Evidence link</x:v>
      </x:c>
    </x:row>
    <x:row r="5" ht="44" customHeight="1">
      <x:c r="A5" s="13" t="str">
        <x:v>BG-01</x:v>
      </x:c>
      <x:c r="B5" s="13" t="str">
        <x:v>Product</x:v>
      </x:c>
      <x:c r="C5" s="13" t="str">
        <x:v>10 real opportunities independently reviewed</x:v>
      </x:c>
      <x:c r="D5" s="13" t="str">
        <x:v>P0</x:v>
      </x:c>
      <x:c r="E5" s="13" t="str">
        <x:v>Not Started</x:v>
      </x:c>
      <x:c r="F5" s="13" t="str">
        <x:v>F1, B1, B2</x:v>
      </x:c>
      <x:c r="G5" s="13" t="str">
        <x:v>10 published records; no unresolved material facts</x:v>
      </x:c>
      <x:c r="H5" s="13" t="str"/>
    </x:row>
    <x:row r="6" ht="44" customHeight="1">
      <x:c r="A6" s="14" t="str">
        <x:v>BG-02</x:v>
      </x:c>
      <x:c r="B6" s="14" t="str">
        <x:v>Decision quality</x:v>
      </x:c>
      <x:c r="C6" s="14" t="str">
        <x:v>30 golden student profiles pass</x:v>
      </x:c>
      <x:c r="D6" s="14" t="str">
        <x:v>P0</x:v>
      </x:c>
      <x:c r="E6" s="14" t="str">
        <x:v>Not Started</x:v>
      </x:c>
      <x:c r="F6" s="14" t="str">
        <x:v>C1, C2</x:v>
      </x:c>
      <x:c r="G6" s="14" t="str">
        <x:v>Eligibility and ranking regression suite green</x:v>
      </x:c>
      <x:c r="H6" s="14" t="str"/>
    </x:row>
    <x:row r="7" ht="44" customHeight="1">
      <x:c r="A7" s="14" t="str">
        <x:v>BG-03</x:v>
      </x:c>
      <x:c r="B7" s="14" t="str">
        <x:v>Trust</x:v>
      </x:c>
      <x:c r="C7" s="14" t="str">
        <x:v>Every recommendation cites evidence and uncertainty</x:v>
      </x:c>
      <x:c r="D7" s="14" t="str">
        <x:v>P0</x:v>
      </x:c>
      <x:c r="E7" s="14" t="str">
        <x:v>Not Started</x:v>
      </x:c>
      <x:c r="F7" s="14" t="str">
        <x:v>C1, C2, C3</x:v>
      </x:c>
      <x:c r="G7" s="14" t="str">
        <x:v>No unexplained match or probability claim</x:v>
      </x:c>
      <x:c r="H7" s="14" t="str"/>
    </x:row>
    <x:row r="8" ht="44" customHeight="1">
      <x:c r="A8" s="14" t="str">
        <x:v>BG-04</x:v>
      </x:c>
      <x:c r="B8" s="14" t="str">
        <x:v>Security</x:v>
      </x:c>
      <x:c r="C8" s="14" t="str">
        <x:v>Supabase RLS blocks cross-user access</x:v>
      </x:c>
      <x:c r="D8" s="14" t="str">
        <x:v>P0</x:v>
      </x:c>
      <x:c r="E8" s="14" t="str">
        <x:v>Not Started</x:v>
      </x:c>
      <x:c r="F8" s="14" t="str">
        <x:v>A1</x:v>
      </x:c>
      <x:c r="G8" s="14" t="str">
        <x:v>Automated isolation tests pass</x:v>
      </x:c>
      <x:c r="H8" s="14" t="str"/>
    </x:row>
    <x:row r="9" ht="44" customHeight="1">
      <x:c r="A9" s="14" t="str">
        <x:v>BG-05</x:v>
      </x:c>
      <x:c r="B9" s="14" t="str">
        <x:v>Security</x:v>
      </x:c>
      <x:c r="C9" s="14" t="str">
        <x:v>No service-role credential reaches browser</x:v>
      </x:c>
      <x:c r="D9" s="14" t="str">
        <x:v>P0</x:v>
      </x:c>
      <x:c r="E9" s="14" t="str">
        <x:v>Not Started</x:v>
      </x:c>
      <x:c r="F9" s="14" t="str">
        <x:v>F4</x:v>
      </x:c>
      <x:c r="G9" s="14" t="str">
        <x:v>Production bundle and environment audit pass</x:v>
      </x:c>
      <x:c r="H9" s="14" t="str"/>
    </x:row>
    <x:row r="10" ht="44" customHeight="1">
      <x:c r="A10" s="14" t="str">
        <x:v>BG-06</x:v>
      </x:c>
      <x:c r="B10" s="14" t="str">
        <x:v>Journey</x:v>
      </x:c>
      <x:c r="C10" s="14" t="str">
        <x:v>Profile to application works end to end</x:v>
      </x:c>
      <x:c r="D10" s="14" t="str">
        <x:v>P0</x:v>
      </x:c>
      <x:c r="E10" s="14" t="str">
        <x:v>Not Started</x:v>
      </x:c>
      <x:c r="F10" s="14" t="str">
        <x:v>A2-D2, E1</x:v>
      </x:c>
      <x:c r="G10" s="14" t="str">
        <x:v>Playwright critical journey passes</x:v>
      </x:c>
      <x:c r="H10" s="14" t="str"/>
    </x:row>
    <x:row r="11" ht="44" customHeight="1">
      <x:c r="A11" s="14" t="str">
        <x:v>BG-07</x:v>
      </x:c>
      <x:c r="B11" s="14" t="str">
        <x:v>UX</x:v>
      </x:c>
      <x:c r="C11" s="14" t="str">
        <x:v>Desktop and mobile UI is readable and approved</x:v>
      </x:c>
      <x:c r="D11" s="14" t="str">
        <x:v>P0</x:v>
      </x:c>
      <x:c r="E11" s="14" t="str">
        <x:v>Not Started</x:v>
      </x:c>
      <x:c r="F11" s="14" t="str">
        <x:v>UX0</x:v>
      </x:c>
      <x:c r="G11" s="14" t="str">
        <x:v>Visual/accessibility review signed</x:v>
      </x:c>
      <x:c r="H11" s="14" t="str"/>
    </x:row>
    <x:row r="12" ht="44" customHeight="1">
      <x:c r="A12" s="14" t="str">
        <x:v>BG-08</x:v>
      </x:c>
      <x:c r="B12" s="14" t="str">
        <x:v>Reliability</x:v>
      </x:c>
      <x:c r="C12" s="14" t="str">
        <x:v>Loading, empty, error, stale and conflict states work</x:v>
      </x:c>
      <x:c r="D12" s="14" t="str">
        <x:v>P0</x:v>
      </x:c>
      <x:c r="E12" s="14" t="str">
        <x:v>Not Started</x:v>
      </x:c>
      <x:c r="F12" s="14" t="str">
        <x:v>All P0</x:v>
      </x:c>
      <x:c r="G12" s="14" t="str">
        <x:v>State fixtures and browser checks pass</x:v>
      </x:c>
      <x:c r="H12" s="14" t="str"/>
    </x:row>
    <x:row r="13" ht="44" customHeight="1">
      <x:c r="A13" s="14" t="str">
        <x:v>BG-09</x:v>
      </x:c>
      <x:c r="B13" s="14" t="str">
        <x:v>Operations</x:v>
      </x:c>
      <x:c r="C13" s="14" t="str">
        <x:v>Feedback and fact corrections are live</x:v>
      </x:c>
      <x:c r="D13" s="14" t="str">
        <x:v>P0</x:v>
      </x:c>
      <x:c r="E13" s="14" t="str">
        <x:v>Not Started</x:v>
      </x:c>
      <x:c r="F13" s="14" t="str">
        <x:v>F2</x:v>
      </x:c>
      <x:c r="G13" s="14" t="str">
        <x:v>Tester can submit and track a correction</x:v>
      </x:c>
      <x:c r="H13" s="14" t="str"/>
    </x:row>
    <x:row r="14" ht="44" customHeight="1">
      <x:c r="A14" s="14" t="str">
        <x:v>BG-10</x:v>
      </x:c>
      <x:c r="B14" s="14" t="str">
        <x:v>Release</x:v>
      </x:c>
      <x:c r="C14" s="14" t="str">
        <x:v>No unresolved critical defect</x:v>
      </x:c>
      <x:c r="D14" s="14" t="str">
        <x:v>P0</x:v>
      </x:c>
      <x:c r="E14" s="14" t="str">
        <x:v>Not Started</x:v>
      </x:c>
      <x:c r="F14" s="14" t="str">
        <x:v>G1</x:v>
      </x:c>
      <x:c r="G14" s="14" t="str">
        <x:v>Critical bug count equals zero</x:v>
      </x:c>
      <x:c r="H14" s="14" t="str"/>
    </x:row>
  </x:sheetData>
  <x:mergeCells>
    <x:mergeCell ref="A1:H1"/>
    <x:mergeCell ref="A2:H2"/>
  </x:mergeCells>
  <x:conditionalFormatting sqref="E5:E14">
    <x:cfRule type="containsText" dxfId="10" priority="1" operator="containsText" text="Done"/>
    <x:cfRule type="containsText" dxfId="11" priority="2" operator="containsText" text="In Progress"/>
    <x:cfRule type="containsText" dxfId="12" priority="3" operator="containsText" text="Ready Today"/>
    <x:cfRule type="containsText" dxfId="13" priority="4" operator="containsText" text="Blocked"/>
    <x:cfRule type="containsText" dxfId="14" priority="5" operator="containsText" text="In Review"/>
  </x:conditionalFormatting>
  <x:dataValidations count="2">
    <x:dataValidation type="list" sqref="D5:D14">
      <x:formula1>"P0,P1,Foundation,Later"</x:formula1>
    </x:dataValidation>
    <x:dataValidation type="list" sqref="E5:E14">
      <x:formula1>"Not Started,Ready Today,In Progress,In Review,Blocked,Done,Deferred"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a490bbd18cc4be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</x:cols>
  <x:sheetData>
    <x:row r="1" ht="30" customHeight="1">
      <x:c r="A1" s="9" t="str">
        <x:v>Setting</x:v>
      </x:c>
      <x:c r="B1" s="9" t="str">
        <x:v>Value</x:v>
      </x:c>
    </x:row>
    <x:row r="2">
      <x:c r="A2" t="str">
        <x:v>Sprint start</x:v>
      </x:c>
      <x:c r="B2" s="51" t="n">
        <x:v>46233</x:v>
      </x:c>
    </x:row>
    <x:row r="3">
      <x:c r="A3" t="str">
        <x:v>Beta target</x:v>
      </x:c>
      <x:c r="B3" s="51" t="n">
        <x:v>46246</x:v>
      </x:c>
    </x:row>
    <x:row r="5" ht="30" customHeight="1">
      <x:c r="A5" s="9" t="str">
        <x:v>Status</x:v>
      </x:c>
      <x:c r="C5" s="9" t="str">
        <x:v>Priority</x:v>
      </x:c>
      <x:c r="E5" s="9" t="str">
        <x:v>Owner</x:v>
      </x:c>
    </x:row>
    <x:row r="6">
      <x:c r="A6" t="str">
        <x:v>Not Started</x:v>
      </x:c>
      <x:c r="C6" t="str">
        <x:v>P0</x:v>
      </x:c>
      <x:c r="E6" t="str">
        <x:v>Haidar</x:v>
      </x:c>
    </x:row>
    <x:row r="7">
      <x:c r="A7" t="str">
        <x:v>Ready Today</x:v>
      </x:c>
      <x:c r="C7" t="str">
        <x:v>P1</x:v>
      </x:c>
      <x:c r="E7" t="str">
        <x:v>Codex</x:v>
      </x:c>
    </x:row>
    <x:row r="8">
      <x:c r="A8" t="str">
        <x:v>In Progress</x:v>
      </x:c>
      <x:c r="C8" t="str">
        <x:v>Foundation</x:v>
      </x:c>
      <x:c r="E8" t="str">
        <x:v>Haidar + Codex</x:v>
      </x:c>
    </x:row>
    <x:row r="9">
      <x:c r="A9" t="str">
        <x:v>In Review</x:v>
      </x:c>
      <x:c r="C9" t="str">
        <x:v>Later</x:v>
      </x:c>
      <x:c r="E9" t="str">
        <x:v>Research Reviewer</x:v>
      </x:c>
    </x:row>
    <x:row r="10">
      <x:c r="A10" t="str">
        <x:v>Blocked</x:v>
      </x:c>
    </x:row>
    <x:row r="11">
      <x:c r="A11" t="str">
        <x:v>Done</x:v>
      </x:c>
    </x:row>
    <x:row r="12">
      <x:c r="A12" t="str">
        <x:v>Deferred</x:v>
      </x:c>
    </x:row>
  </x:sheetData>
  <x:pageMargins left="0.7" right="0.7" top="0.75" bottom="0.75" header="0.3" footer="0.3"/>
</x:worksheet>
</file>