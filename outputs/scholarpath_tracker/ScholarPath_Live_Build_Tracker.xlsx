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f5d349689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Center" sheetId="1" r:id="R72cd99d0a7d647c1"/>
    <x:sheet xmlns:r="http://schemas.openxmlformats.org/officeDocument/2006/relationships" name="Daily Sprint" sheetId="2" r:id="Rc87ce441e6f34b31"/>
    <x:sheet xmlns:r="http://schemas.openxmlformats.org/officeDocument/2006/relationships" name="Module Register" sheetId="3" r:id="Rd418b593b2b046ef"/>
    <x:sheet xmlns:r="http://schemas.openxmlformats.org/officeDocument/2006/relationships" name="Blockers" sheetId="4" r:id="Rda906d94b1d34c34"/>
    <x:sheet xmlns:r="http://schemas.openxmlformats.org/officeDocument/2006/relationships" name="Beta Gates" sheetId="5" r:id="Rd73ae15ae128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ddd, mmm d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5F6B7A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0"/>
      <x:color rgb="FF172033"/>
      <x:name val="Carlito"/>
    </x:font>
    <x:font>
      <x:b/>
      <x:sz val="16"/>
      <x:color rgb="FF2563EB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B42318"/>
      </x:patternFill>
    </x:fill>
  </x:fills>
  <x:borders count="10">
    <x:border/>
    <x:border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</x:border>
    <x:border>
      <x:right style="thin">
        <x:color rgb="FFD9DEE7"/>
      </x:right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top style="thin">
        <x:color rgb="FFD9DEE7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/>
    <x:xf numFmtId="0" fontId="6" fillId="4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/>
    <x:xf numFmtId="0" fontId="6" fillId="4" borderId="8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5" fillId="3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5" fillId="3" borderId="9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157347"/>
      </x:font>
      <x:fill>
        <x:patternFill patternType="solid">
          <x:bgColor rgb="FFE8F5EE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5F6B7A"/>
      </x:font>
      <x:fill>
        <x:patternFill patternType="solid">
          <x:bgColor rgb="FFF4F6F8"/>
        </x:patternFill>
      </x:fill>
    </x:dxf>
    <x:dxf>
      <x:font>
        <x:b/>
        <x:color rgb="FF157347"/>
      </x:font>
      <x:fill>
        <x:patternFill patternType="solid">
          <x:bgColor rgb="FFE8F5EE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5F6B7A"/>
      </x:font>
      <x:fill>
        <x:patternFill patternType="solid">
          <x:bgColor rgb="FFF4F6F8"/>
        </x:patternFill>
      </x:fill>
    </x:dxf>
    <x:dxf>
      <x:font>
        <x:b/>
        <x:color rgb="FF157347"/>
      </x:font>
      <x:fill>
        <x:patternFill patternType="solid">
          <x:bgColor rgb="FFE8F5EE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5F6B7A"/>
      </x:font>
      <x:fill>
        <x:patternFill patternType="solid">
          <x:bgColor rgb="FFF4F6F8"/>
        </x:patternFill>
      </x:fill>
    </x:dxf>
    <x:dxf>
      <x:font>
        <x:b/>
        <x:color rgb="FF157347"/>
      </x:font>
      <x:fill>
        <x:patternFill patternType="solid">
          <x:bgColor rgb="FFE8F5EE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1F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5F6B7A"/>
      </x:font>
      <x:fill>
        <x:patternFill patternType="solid">
          <x:bgColor rgb="FFF4F6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e2c6e7cd8469f" /><Relationship Type="http://schemas.openxmlformats.org/officeDocument/2006/relationships/theme" Target="/xl/theme/theme1.xml" Id="Rae245d1fdef64ef2" /><Relationship Type="http://schemas.openxmlformats.org/officeDocument/2006/relationships/sharedStrings" Target="/xl/sharedStrings.xml" Id="R0275e141ca484594" /><Relationship Type="http://schemas.openxmlformats.org/officeDocument/2006/relationships/worksheet" Target="/xl/worksheets/sheet1.xml" Id="R72cd99d0a7d647c1" /><Relationship Type="http://schemas.openxmlformats.org/officeDocument/2006/relationships/worksheet" Target="/xl/worksheets/sheet2.xml" Id="Rc87ce441e6f34b31" /><Relationship Type="http://schemas.openxmlformats.org/officeDocument/2006/relationships/worksheet" Target="/xl/worksheets/sheet3.xml" Id="Rd418b593b2b046ef" /><Relationship Type="http://schemas.openxmlformats.org/officeDocument/2006/relationships/worksheet" Target="/xl/worksheets/sheet4.xml" Id="Rda906d94b1d34c34" /><Relationship Type="http://schemas.openxmlformats.org/officeDocument/2006/relationships/worksheet" Target="/xl/worksheets/sheet5.xml" Id="Rd73ae15ae12845fe" /></Relationships>
</file>

<file path=xl/tables/table1.xml><?xml version="1.0" encoding="utf-8"?>
<x:table xmlns:x="http://schemas.openxmlformats.org/spreadsheetml/2006/main" id="3" name="DailySprintTable" displayName="DailySprintTable" ref="A4:G13" headerRowCount="1" totalsRowCount="0" totalsRowShown="0">
  <x:tableColumns count="7">
    <x:tableColumn id="1" name="Date"/>
    <x:tableColumn id="2" name="Delivery"/>
    <x:tableColumn id="3" name="Owner"/>
    <x:tableColumn id="4" name="Status"/>
    <x:tableColumn id="5" name="Blocked by"/>
    <x:tableColumn id="6" name="Exit test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oduleRegisterTable" displayName="ModuleRegisterTable" ref="A4:I20" headerRowCount="1" totalsRowCount="0" totalsRowShown="0">
  <x:tableColumns count="9">
    <x:tableColumn id="1" name="ID"/>
    <x:tableColumn id="2" name="Module"/>
    <x:tableColumn id="3" name="Status"/>
    <x:tableColumn id="4" name="Beta decision"/>
    <x:tableColumn id="5" name="What exists"/>
    <x:tableColumn id="6" name="Blocking / missing"/>
    <x:tableColumn id="7" name="Owner"/>
    <x:tableColumn id="8" name="Due"/>
    <x:tableColumn id="9" name="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BlockerRegisterTable" displayName="BlockerRegisterTable" ref="A4:H11" headerRowCount="1" totalsRowCount="0" totalsRowShown="0">
  <x:tableColumns count="8">
    <x:tableColumn id="1" name="ID"/>
    <x:tableColumn id="2" name="Blocker"/>
    <x:tableColumn id="3" name="Priority"/>
    <x:tableColumn id="4" name="Owner"/>
    <x:tableColumn id="5" name="Due"/>
    <x:tableColumn id="6" name="Status"/>
    <x:tableColumn id="7" name="Impact"/>
    <x:tableColumn id="8" name="Next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taGatesTable" displayName="BetaGatesTable" ref="A4:F13" headerRowCount="1" totalsRowCount="0" totalsRowShown="0">
  <x:tableColumns count="6">
    <x:tableColumn id="1" name="Gate"/>
    <x:tableColumn id="2" name="Release condition"/>
    <x:tableColumn id="3" name="Priority"/>
    <x:tableColumn id="4" name="Status"/>
    <x:tableColumn id="5" name="Blocked by"/>
    <x:tableColumn id="6" name="Acceptance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8fd30b07af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d8b79e8246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99552f013046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781c7073764f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ScholarPath Build Command Center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Invite-only beta | Target: 14 August 2026 | Updated: 6 August 2026</x:v>
      </x:c>
      <x:c r="B2" s="6"/>
      <x:c r="C2" s="6"/>
      <x:c r="D2" s="6"/>
      <x:c r="E2" s="6"/>
      <x:c r="F2" s="6"/>
      <x:c r="G2" s="6"/>
      <x:c r="H2" s="6"/>
    </x:row>
    <x:row r="4" ht="30" customHeight="1">
      <x:c r="A4" s="23" t="str">
        <x:v>Metric</x:v>
      </x:c>
      <x:c r="B4" s="24" t="str">
        <x:v>Live value</x:v>
      </x:c>
      <x:c r="D4" s="31" t="str">
        <x:v>TODAY - CLOSE B01 FIRST</x:v>
      </x:c>
      <x:c r="E4" s="31"/>
      <x:c r="F4" s="31"/>
      <x:c r="G4" s="31"/>
      <x:c r="H4" s="31"/>
    </x:row>
    <x:row r="5" ht="42" customHeight="1">
      <x:c r="A5" s="25" t="str">
        <x:v>Calendar days remaining</x:v>
      </x:c>
      <x:c r="B5" s="26" t="n">
        <x:v>8</x:v>
      </x:c>
      <x:c r="D5" s="34" t="str">
        <x:v>Blocker</x:v>
      </x:c>
      <x:c r="E5" s="35" t="str">
        <x:v>Supabase authentication and project access</x:v>
      </x:c>
      <x:c r="F5" s="35"/>
      <x:c r="G5" s="35"/>
      <x:c r="H5" s="36"/>
    </x:row>
    <x:row r="6" ht="42" customHeight="1">
      <x:c r="A6" s="25" t="str">
        <x:v>Modules blocked</x:v>
      </x:c>
      <x:c r="B6" s="26" t="n">
        <x:f>COUNTIF('Module Register'!$C$5:$C$20,"Blocked")</x:f>
        <x:v>2</x:v>
      </x:c>
      <x:c r="D6" s="37" t="str">
        <x:v>Owner</x:v>
      </x:c>
      <x:c r="E6" s="33" t="str">
        <x:v>Haidar</x:v>
      </x:c>
      <x:c r="F6" s="33"/>
      <x:c r="G6" s="33"/>
      <x:c r="H6" s="38"/>
    </x:row>
    <x:row r="7" ht="42" customHeight="1">
      <x:c r="A7" s="25" t="str">
        <x:v>Modules partial</x:v>
      </x:c>
      <x:c r="B7" s="26" t="n">
        <x:f>COUNTIF('Module Register'!$C$5:$C$20,"Partial")</x:f>
        <x:v>11</x:v>
      </x:c>
      <x:c r="D7" s="37" t="str">
        <x:v>Why first</x:v>
      </x:c>
      <x:c r="E7" s="33" t="str">
        <x:v>Database, Auth, live recommendations and operations depend on it</x:v>
      </x:c>
      <x:c r="F7" s="33"/>
      <x:c r="G7" s="33"/>
      <x:c r="H7" s="38"/>
    </x:row>
    <x:row r="8" ht="42" customHeight="1">
      <x:c r="A8" s="25" t="str">
        <x:v>Modules deferred</x:v>
      </x:c>
      <x:c r="B8" s="26" t="n">
        <x:f>COUNTIF('Module Register'!$C$5:$C$20,"Deferred")</x:f>
        <x:v>3</x:v>
      </x:c>
      <x:c r="D8" s="37" t="str">
        <x:v>Haidar action</x:v>
      </x:c>
      <x:c r="E8" s="33" t="str">
        <x:v>Complete Supabase sign-in</x:v>
      </x:c>
      <x:c r="F8" s="33"/>
      <x:c r="G8" s="33"/>
      <x:c r="H8" s="38"/>
    </x:row>
    <x:row r="9" ht="42" customHeight="1">
      <x:c r="A9" s="25" t="str">
        <x:v>Open P0 blockers</x:v>
      </x:c>
      <x:c r="B9" s="26" t="n">
        <x:f>COUNTIFS('Blockers'!$C$5:$C$11,"P0",'Blockers'!$F$5:$F$11,"&lt;&gt;Done")</x:f>
        <x:v>7</x:v>
      </x:c>
      <x:c r="D9" s="37" t="str">
        <x:v>Codex next</x:v>
      </x:c>
      <x:c r="E9" s="33" t="str">
        <x:v>Apply 009-010, configure preview and run live acceptance</x:v>
      </x:c>
      <x:c r="F9" s="33"/>
      <x:c r="G9" s="33"/>
      <x:c r="H9" s="38"/>
    </x:row>
    <x:row r="10" ht="42" customHeight="1">
      <x:c r="A10" s="25" t="str">
        <x:v>Release gates done</x:v>
      </x:c>
      <x:c r="B10" s="26" t="n">
        <x:f>COUNTIF('Beta Gates'!$D$5:$D$13,"Done")</x:f>
        <x:v>0</x:v>
      </x:c>
      <x:c r="D10" s="39" t="str">
        <x:v>Deadline</x:v>
      </x:c>
      <x:c r="E10" s="40" t="str">
        <x:v>6 August 2026</x:v>
      </x:c>
      <x:c r="F10" s="40"/>
      <x:c r="G10" s="40"/>
      <x:c r="H10" s="41"/>
    </x:row>
    <x:row r="11">
      <x:c r="A11" s="27" t="str">
        <x:v>Current opportunities</x:v>
      </x:c>
      <x:c r="B11" s="28" t="n">
        <x:v>5</x:v>
      </x:c>
    </x:row>
    <x:row r="14">
      <x:c r="A14" s="42" t="str">
        <x:v>LAUNCH BOUNDARY</x:v>
      </x:c>
      <x:c r="B14" s="42"/>
      <x:c r="C14" s="42"/>
      <x:c r="D14" s="42"/>
      <x:c r="E14" s="42"/>
      <x:c r="F14" s="42"/>
      <x:c r="G14" s="42"/>
      <x:c r="H14" s="42"/>
    </x:row>
    <x:row r="15">
      <x:c r="A15" s="43" t="str">
        <x:v>Ship</x:v>
      </x:c>
      <x:c r="B15" s="44" t="str">
        <x:v>Auth, profile, data truth, eligibility, recommendations, discovery, basic tracking and feedback</x:v>
      </x:c>
      <x:c r="C15" s="44" t="str"/>
      <x:c r="D15" s="44" t="str"/>
      <x:c r="E15" s="44" t="str"/>
      <x:c r="F15" s="44" t="str"/>
      <x:c r="G15" s="44" t="str"/>
      <x:c r="H15" s="44" t="str"/>
    </x:row>
    <x:row r="16">
      <x:c r="A16" s="45" t="str">
        <x:v>Optional</x:v>
      </x:c>
      <x:c r="B16" s="46" t="str">
        <x:v>Document upload only after private storage passes</x:v>
      </x:c>
      <x:c r="C16" s="46" t="str"/>
      <x:c r="D16" s="46" t="str"/>
      <x:c r="E16" s="46" t="str"/>
      <x:c r="F16" s="46" t="str"/>
      <x:c r="G16" s="46" t="str"/>
      <x:c r="H16" s="46" t="str"/>
    </x:row>
    <x:row r="17">
      <x:c r="A17" s="45" t="str">
        <x:v>Defer</x:v>
      </x:c>
      <x:c r="B17" s="46" t="str">
        <x:v>Writing, recommenders, offers, iOS, full rankings, semantic search and automation</x:v>
      </x:c>
      <x:c r="C17" s="46" t="str"/>
      <x:c r="D17" s="46" t="str"/>
      <x:c r="E17" s="46" t="str"/>
      <x:c r="F17" s="46" t="str"/>
      <x:c r="G17" s="46" t="str"/>
      <x:c r="H17" s="46" t="str"/>
    </x:row>
    <x:row r="18">
      <x:c r="A18" s="47" t="str">
        <x:v>Audience</x:v>
      </x:c>
      <x:c r="B18" s="48" t="str">
        <x:v>5-10 controlled testers; not a public launch</x:v>
      </x:c>
      <x:c r="C18" s="48" t="str"/>
      <x:c r="D18" s="48" t="str"/>
      <x:c r="E18" s="48" t="str"/>
      <x:c r="F18" s="48" t="str"/>
      <x:c r="G18" s="48" t="str"/>
      <x:c r="H18" s="48" t="str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5" hidden="0" customWidth="1"/>
    <x:col min="5" max="5" width="16" hidden="0" customWidth="1"/>
    <x:col min="6" max="6" width="40" hidden="0" customWidth="1"/>
    <x:col min="7" max="7" width="25" hidden="0" customWidth="1"/>
  </x:cols>
  <x:sheetData>
    <x:row r="1" ht="34" customHeight="1">
      <x:c r="A1" s="3" t="str">
        <x:v>ScholarPath Eight-Day Sprint</x:v>
      </x:c>
      <x:c r="B1" s="3"/>
      <x:c r="C1" s="3"/>
      <x:c r="D1" s="3"/>
      <x:c r="E1" s="3"/>
      <x:c r="F1" s="3"/>
      <x:c r="G1" s="3"/>
    </x:row>
    <x:row r="2" ht="28" customHeight="1">
      <x:c r="A2" s="6" t="str">
        <x:v>6-14 August 2026 | One release outcome per day</x:v>
      </x:c>
      <x:c r="B2" s="6"/>
      <x:c r="C2" s="6"/>
      <x:c r="D2" s="6"/>
      <x:c r="E2" s="6"/>
      <x:c r="F2" s="6"/>
      <x:c r="G2" s="6"/>
    </x:row>
    <x:row r="4" ht="30" customHeight="1">
      <x:c r="A4" s="9" t="str">
        <x:v>Date</x:v>
      </x:c>
      <x:c r="B4" s="9" t="str">
        <x:v>Delivery</x:v>
      </x:c>
      <x:c r="C4" s="9" t="str">
        <x:v>Owner</x:v>
      </x:c>
      <x:c r="D4" s="9" t="str">
        <x:v>Status</x:v>
      </x:c>
      <x:c r="E4" s="9" t="str">
        <x:v>Blocked by</x:v>
      </x:c>
      <x:c r="F4" s="9" t="str">
        <x:v>Exit test</x:v>
      </x:c>
      <x:c r="G4" s="9" t="str">
        <x:v>Notes</x:v>
      </x:c>
    </x:row>
    <x:row r="5" ht="45" customHeight="1">
      <x:c r="A5" s="17" t="n">
        <x:v>46240</x:v>
      </x:c>
      <x:c r="B5" s="13" t="str">
        <x:v>Restore Supabase; apply 009-010; configure secrets</x:v>
      </x:c>
      <x:c r="C5" s="13" t="str">
        <x:v>Haidar + Codex</x:v>
      </x:c>
      <x:c r="D5" s="13" t="str">
        <x:v>Blocked</x:v>
      </x:c>
      <x:c r="E5" s="13" t="str">
        <x:v>B01</x:v>
      </x:c>
      <x:c r="F5" s="13" t="str">
        <x:v>Live database and protected preview start</x:v>
      </x:c>
      <x:c r="G5" s="13" t="str">
        <x:v>Highest priority</x:v>
      </x:c>
    </x:row>
    <x:row r="6" ht="45" customHeight="1">
      <x:c r="A6" s="18" t="n">
        <x:v>46241</x:v>
      </x:c>
      <x:c r="B6" s="14" t="str">
        <x:v>Configure Auth, first admin and roles</x:v>
      </x:c>
      <x:c r="C6" s="14" t="str">
        <x:v>Haidar + Codex</x:v>
      </x:c>
      <x:c r="D6" s="14" t="str">
        <x:v>Blocked</x:v>
      </x:c>
      <x:c r="E6" s="14" t="str">
        <x:v>B01</x:v>
      </x:c>
      <x:c r="F6" s="14" t="str">
        <x:v>Two unrelated students pass isolation</x:v>
      </x:c>
      <x:c r="G6" s="14" t="str"/>
    </x:row>
    <x:row r="7" ht="45" customHeight="1">
      <x:c r="A7" s="18" t="n">
        <x:v>46242</x:v>
      </x:c>
      <x:c r="B7" s="14" t="str">
        <x:v>Connect profile to eligibility and recommendations</x:v>
      </x:c>
      <x:c r="C7" s="14" t="str">
        <x:v>Codex</x:v>
      </x:c>
      <x:c r="D7" s="14" t="str">
        <x:v>Partial</x:v>
      </x:c>
      <x:c r="E7" s="14" t="str">
        <x:v>B02-B03</x:v>
      </x:c>
      <x:c r="F7" s="14" t="str">
        <x:v>One student receives stored explainable results</x:v>
      </x:c>
      <x:c r="G7" s="14" t="str"/>
    </x:row>
    <x:row r="8" ht="45" customHeight="1">
      <x:c r="A8" s="18" t="n">
        <x:v>46243</x:v>
      </x:c>
      <x:c r="B8" s="14" t="str">
        <x:v>Add and review opportunities 6-8</x:v>
      </x:c>
      <x:c r="C8" s="14" t="str">
        <x:v>Codex + Reviewer</x:v>
      </x:c>
      <x:c r="D8" s="14" t="str">
        <x:v>In Progress</x:v>
      </x:c>
      <x:c r="E8" s="14" t="str">
        <x:v>B04</x:v>
      </x:c>
      <x:c r="F8" s="14" t="str">
        <x:v>Every fact has official evidence</x:v>
      </x:c>
      <x:c r="G8" s="14" t="str"/>
    </x:row>
    <x:row r="9" ht="45" customHeight="1">
      <x:c r="A9" s="18" t="n">
        <x:v>46244</x:v>
      </x:c>
      <x:c r="B9" s="14" t="str">
        <x:v>Add opportunities 9-10 and 30 golden profiles</x:v>
      </x:c>
      <x:c r="C9" s="14" t="str">
        <x:v>Codex + Reviewer</x:v>
      </x:c>
      <x:c r="D9" s="14" t="str">
        <x:v>In Progress</x:v>
      </x:c>
      <x:c r="E9" s="14" t="str">
        <x:v>B04-B05</x:v>
      </x:c>
      <x:c r="F9" s="14" t="str">
        <x:v>Regression and subgroup review pass</x:v>
      </x:c>
      <x:c r="G9" s="14" t="str"/>
    </x:row>
    <x:row r="10" ht="45" customHeight="1">
      <x:c r="A10" s="18" t="n">
        <x:v>46245</x:v>
      </x:c>
      <x:c r="B10" s="14" t="str">
        <x:v>Verify portfolio to application to tasks</x:v>
      </x:c>
      <x:c r="C10" s="14" t="str">
        <x:v>Codex</x:v>
      </x:c>
      <x:c r="D10" s="14" t="str">
        <x:v>Partial</x:v>
      </x:c>
      <x:c r="E10" s="14" t="str">
        <x:v>B02-B05</x:v>
      </x:c>
      <x:c r="F10" s="14" t="str">
        <x:v>Recommendation becomes persistent plan</x:v>
      </x:c>
      <x:c r="G10" s="14" t="str"/>
    </x:row>
    <x:row r="11" ht="45" customHeight="1">
      <x:c r="A11" s="18" t="n">
        <x:v>46246</x:v>
      </x:c>
      <x:c r="B11" s="14" t="str">
        <x:v>Mobile, accessibility, errors, feedback and monitoring</x:v>
      </x:c>
      <x:c r="C11" s="14" t="str">
        <x:v>Haidar + Codex</x:v>
      </x:c>
      <x:c r="D11" s="14" t="str">
        <x:v>Not Started</x:v>
      </x:c>
      <x:c r="E11" s="14" t="str">
        <x:v>B06</x:v>
      </x:c>
      <x:c r="F11" s="14" t="str">
        <x:v>No P0 defect; failures observable</x:v>
      </x:c>
      <x:c r="G11" s="14" t="str"/>
    </x:row>
    <x:row r="12" ht="45" customHeight="1">
      <x:c r="A12" s="18" t="n">
        <x:v>46247</x:v>
      </x:c>
      <x:c r="B12" s="14" t="str">
        <x:v>Freeze, smoke, backup/rollback and invitations</x:v>
      </x:c>
      <x:c r="C12" s="14" t="str">
        <x:v>Haidar + Codex</x:v>
      </x:c>
      <x:c r="D12" s="14" t="str">
        <x:v>Not Started</x:v>
      </x:c>
      <x:c r="E12" s="14" t="str">
        <x:v>B07</x:v>
      </x:c>
      <x:c r="F12" s="14" t="str">
        <x:v>Release candidate approved</x:v>
      </x:c>
      <x:c r="G12" s="14" t="str"/>
    </x:row>
    <x:row r="13" ht="45" customHeight="1">
      <x:c r="A13" s="18" t="n">
        <x:v>46248</x:v>
      </x:c>
      <x:c r="B13" s="14" t="str">
        <x:v>Invite 5-10 controlled testers</x:v>
      </x:c>
      <x:c r="C13" s="14" t="str">
        <x:v>Haidar</x:v>
      </x:c>
      <x:c r="D13" s="14" t="str">
        <x:v>Not Started</x:v>
      </x:c>
      <x:c r="E13" s="14" t="str">
        <x:v>All P0</x:v>
      </x:c>
      <x:c r="F13" s="14" t="str">
        <x:v>Monitor onboarding and corrections</x:v>
      </x:c>
      <x:c r="G13" s="14" t="str">
        <x:v>Invite-only beta</x:v>
      </x:c>
    </x:row>
  </x:sheetData>
  <x:mergeCells>
    <x:mergeCell ref="A1:G1"/>
    <x:mergeCell ref="A2:G2"/>
  </x:mergeCells>
  <x:conditionalFormatting sqref="D5:D13">
    <x:cfRule type="containsText" dxfId="10" priority="1" operator="containsText" text="Done"/>
    <x:cfRule type="containsText" dxfId="11" priority="2" operator="containsText" text="Partial"/>
    <x:cfRule type="containsText" dxfId="12" priority="3" operator="containsText" text="In Progress"/>
    <x:cfRule type="containsText" dxfId="13" priority="4" operator="containsText" text="Blocked"/>
    <x:cfRule type="containsText" dxfId="14" priority="5" operator="containsText" text="Deferred"/>
  </x:conditionalFormatting>
  <x:dataValidations count="1">
    <x:dataValidation type="list" sqref="D5:D13">
      <x:formula1>"Not Started,Partial,In Progress,In Review,Blocked,Done,Deferred"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8fd30b07af49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14" hidden="0" customWidth="1"/>
    <x:col min="5" max="5" width="40" hidden="0" customWidth="1"/>
    <x:col min="6" max="6" width="42" hidden="0" customWidth="1"/>
    <x:col min="7" max="7" width="18" hidden="0" customWidth="1"/>
    <x:col min="8" max="8" width="13" hidden="0" customWidth="1"/>
    <x:col min="9" max="9" width="28" hidden="0" customWidth="1"/>
  </x:cols>
  <x:sheetData>
    <x:row r="1" ht="34" customHeight="1">
      <x:c r="A1" s="3" t="str">
        <x:v>ScholarPath Module Register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Verified status and exact launch blockers | Updated 6 August 2026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9" t="str">
        <x:v>ID</x:v>
      </x:c>
      <x:c r="B4" s="9" t="str">
        <x:v>Module</x:v>
      </x:c>
      <x:c r="C4" s="9" t="str">
        <x:v>Status</x:v>
      </x:c>
      <x:c r="D4" s="9" t="str">
        <x:v>Beta decision</x:v>
      </x:c>
      <x:c r="E4" s="9" t="str">
        <x:v>What exists</x:v>
      </x:c>
      <x:c r="F4" s="9" t="str">
        <x:v>Blocking / missing</x:v>
      </x:c>
      <x:c r="G4" s="9" t="str">
        <x:v>Owner</x:v>
      </x:c>
      <x:c r="H4" s="9" t="str">
        <x:v>Due</x:v>
      </x:c>
      <x:c r="I4" s="9" t="str">
        <x:v>Next action</x:v>
      </x:c>
    </x:row>
    <x:row r="5" ht="45" customHeight="1">
      <x:c r="A5" s="13" t="str">
        <x:v>M00</x:v>
      </x:c>
      <x:c r="B5" s="13" t="str">
        <x:v>Design system and shell</x:v>
      </x:c>
      <x:c r="C5" s="13" t="str">
        <x:v>Partial</x:v>
      </x:c>
      <x:c r="D5" s="13" t="str">
        <x:v>Ship</x:v>
      </x:c>
      <x:c r="E5" s="13" t="str">
        <x:v>Urbanist, responsive shell, states and accessibility foundations</x:v>
      </x:c>
      <x:c r="F5" s="13" t="str">
        <x:v>Founder sign-off and live desktop/mobile check</x:v>
      </x:c>
      <x:c r="G5" s="13" t="str">
        <x:v>Haidar</x:v>
      </x:c>
      <x:c r="H5" s="15" t="str">
        <x:v>2026-08-13</x:v>
      </x:c>
      <x:c r="I5" s="13" t="str">
        <x:v>Approve UI and close P0 defects</x:v>
      </x:c>
    </x:row>
    <x:row r="6" ht="45" customHeight="1">
      <x:c r="A6" s="14" t="str">
        <x:v>M01</x:v>
      </x:c>
      <x:c r="B6" s="14" t="str">
        <x:v>Account, consent and security</x:v>
      </x:c>
      <x:c r="C6" s="14" t="str">
        <x:v>Blocked</x:v>
      </x:c>
      <x:c r="D6" s="14" t="str">
        <x:v>Must ship</x:v>
      </x:c>
      <x:c r="E6" s="14" t="str">
        <x:v>Auth UI, middleware, roles, consent schema and RLS</x:v>
      </x:c>
      <x:c r="F6" s="14" t="str">
        <x:v>Supabase keys, redirects, first admin, recovery and two-user isolation</x:v>
      </x:c>
      <x:c r="G6" s="14" t="str">
        <x:v>Haidar + Codex</x:v>
      </x:c>
      <x:c r="H6" s="16" t="str">
        <x:v>2026-08-07</x:v>
      </x:c>
      <x:c r="I6" s="14" t="str">
        <x:v>Complete Supabase login and Auth setup</x:v>
      </x:c>
    </x:row>
    <x:row r="7" ht="45" customHeight="1">
      <x:c r="A7" s="14" t="str">
        <x:v>M02</x:v>
      </x:c>
      <x:c r="B7" s="14" t="str">
        <x:v>Profile and evidence</x:v>
      </x:c>
      <x:c r="C7" s="14" t="str">
        <x:v>Partial</x:v>
      </x:c>
      <x:c r="D7" s="14" t="str">
        <x:v>Must ship</x:v>
      </x:c>
      <x:c r="E7" s="14" t="str">
        <x:v>Guided profile, validation, normalization and snapshots</x:v>
      </x:c>
      <x:c r="F7" s="14" t="str">
        <x:v>Live persistence and signed-in completion test</x:v>
      </x:c>
      <x:c r="G7" s="14" t="str">
        <x:v>Codex</x:v>
      </x:c>
      <x:c r="H7" s="16" t="str">
        <x:v>2026-08-08</x:v>
      </x:c>
      <x:c r="I7" s="14" t="str">
        <x:v>Run live profile acceptance</x:v>
      </x:c>
    </x:row>
    <x:row r="8" ht="45" customHeight="1">
      <x:c r="A8" s="14" t="str">
        <x:v>M03</x:v>
      </x:c>
      <x:c r="B8" s="14" t="str">
        <x:v>Education truth system</x:v>
      </x:c>
      <x:c r="C8" s="14" t="str">
        <x:v>Partial</x:v>
      </x:c>
      <x:c r="D8" s="14" t="str">
        <x:v>Must ship</x:v>
      </x:c>
      <x:c r="E8" s="14" t="str">
        <x:v>Versioned sources, facts, rules, 4 countries, 9 cities and 12 institutions</x:v>
      </x:c>
      <x:c r="F8" s="14" t="str">
        <x:v>Deploy 009-010 and review five more opportunities</x:v>
      </x:c>
      <x:c r="G8" s="14" t="str">
        <x:v>Codex + Reviewer</x:v>
      </x:c>
      <x:c r="H8" s="16" t="str">
        <x:v>2026-08-10</x:v>
      </x:c>
      <x:c r="I8" s="14" t="str">
        <x:v>Publish opportunities 6-10</x:v>
      </x:c>
    </x:row>
    <x:row r="9" ht="45" customHeight="1">
      <x:c r="A9" s="14" t="str">
        <x:v>M04</x:v>
      </x:c>
      <x:c r="B9" s="14" t="str">
        <x:v>Eligibility engine</x:v>
      </x:c>
      <x:c r="C9" s="14" t="str">
        <x:v>Partial</x:v>
      </x:c>
      <x:c r="D9" s="14" t="str">
        <x:v>Must ship</x:v>
      </x:c>
      <x:c r="E9" s="14" t="str">
        <x:v>Deterministic gates, conditional/unknown states and reason codes</x:v>
      </x:c>
      <x:c r="F9" s="14" t="str">
        <x:v>Production catalogue regression and golden profiles</x:v>
      </x:c>
      <x:c r="G9" s="14" t="str">
        <x:v>Codex</x:v>
      </x:c>
      <x:c r="H9" s="16" t="str">
        <x:v>2026-08-10</x:v>
      </x:c>
      <x:c r="I9" s="14" t="str">
        <x:v>Run 30-profile suite</x:v>
      </x:c>
    </x:row>
    <x:row r="10" ht="45" customHeight="1">
      <x:c r="A10" s="14" t="str">
        <x:v>M05</x:v>
      </x:c>
      <x:c r="B10" s="14" t="str">
        <x:v>Recommendation engine</x:v>
      </x:c>
      <x:c r="C10" s="14" t="str">
        <x:v>Partial</x:v>
      </x:c>
      <x:c r="D10" s="14" t="str">
        <x:v>Must ship</x:v>
      </x:c>
      <x:c r="E10" s="14" t="str">
        <x:v>Versioned scoring, explanations, balance and persistence model</x:v>
      </x:c>
      <x:c r="F10" s="14" t="str">
        <x:v>Golden/fairness suite and live stored runs</x:v>
      </x:c>
      <x:c r="G10" s="14" t="str">
        <x:v>Codex</x:v>
      </x:c>
      <x:c r="H10" s="16" t="str">
        <x:v>2026-08-10</x:v>
      </x:c>
      <x:c r="I10" s="14" t="str">
        <x:v>Store and compare live runs</x:v>
      </x:c>
    </x:row>
    <x:row r="11" ht="45" customHeight="1">
      <x:c r="A11" s="14" t="str">
        <x:v>M06</x:v>
      </x:c>
      <x:c r="B11" s="14" t="str">
        <x:v>Discovery and details</x:v>
      </x:c>
      <x:c r="C11" s="14" t="str">
        <x:v>Partial</x:v>
      </x:c>
      <x:c r="D11" s="14" t="str">
        <x:v>Must ship</x:v>
      </x:c>
      <x:c r="E11" s="14" t="str">
        <x:v>Search, filters, citations, freshness and live API boundary</x:v>
      </x:c>
      <x:c r="F11" s="14" t="str">
        <x:v>Ten live opportunities and production acceptance</x:v>
      </x:c>
      <x:c r="G11" s="14" t="str">
        <x:v>Codex</x:v>
      </x:c>
      <x:c r="H11" s="16" t="str">
        <x:v>2026-08-10</x:v>
      </x:c>
      <x:c r="I11" s="14" t="str">
        <x:v>Verify live discovery</x:v>
      </x:c>
    </x:row>
    <x:row r="12" ht="45" customHeight="1">
      <x:c r="A12" s="14" t="str">
        <x:v>M07</x:v>
      </x:c>
      <x:c r="B12" s="14" t="str">
        <x:v>Portfolio and compare</x:v>
      </x:c>
      <x:c r="C12" s="14" t="str">
        <x:v>Partial</x:v>
      </x:c>
      <x:c r="D12" s="14" t="str">
        <x:v>Ship basic</x:v>
      </x:c>
      <x:c r="E12" s="14" t="str">
        <x:v>Save, grouping, notes and comparison UX</x:v>
      </x:c>
      <x:c r="F12" s="14" t="str">
        <x:v>Live persistence against recommendation versions</x:v>
      </x:c>
      <x:c r="G12" s="14" t="str">
        <x:v>Codex</x:v>
      </x:c>
      <x:c r="H12" s="16" t="str">
        <x:v>2026-08-11</x:v>
      </x:c>
      <x:c r="I12" s="14" t="str">
        <x:v>Test save and compare</x:v>
      </x:c>
    </x:row>
    <x:row r="13" ht="45" customHeight="1">
      <x:c r="A13" s="14" t="str">
        <x:v>M08</x:v>
      </x:c>
      <x:c r="B13" s="14" t="str">
        <x:v>Application tracker</x:v>
      </x:c>
      <x:c r="C13" s="14" t="str">
        <x:v>Partial</x:v>
      </x:c>
      <x:c r="D13" s="14" t="str">
        <x:v>Ship basic</x:v>
      </x:c>
      <x:c r="E13" s="14" t="str">
        <x:v>Application states, requirements, readiness and activity</x:v>
      </x:c>
      <x:c r="F13" s="14" t="str">
        <x:v>One complete live application journey</x:v>
      </x:c>
      <x:c r="G13" s="14" t="str">
        <x:v>Codex</x:v>
      </x:c>
      <x:c r="H13" s="16" t="str">
        <x:v>2026-08-11</x:v>
      </x:c>
      <x:c r="I13" s="14" t="str">
        <x:v>Create one live application</x:v>
      </x:c>
    </x:row>
    <x:row r="14" ht="45" customHeight="1">
      <x:c r="A14" s="14" t="str">
        <x:v>M09</x:v>
      </x:c>
      <x:c r="B14" s="14" t="str">
        <x:v>Tasks and deadlines</x:v>
      </x:c>
      <x:c r="C14" s="14" t="str">
        <x:v>Partial</x:v>
      </x:c>
      <x:c r="D14" s="14" t="str">
        <x:v>Ship basic</x:v>
      </x:c>
      <x:c r="E14" s="14" t="str">
        <x:v>Kanban, impact, dependencies, evidence, APIs and tests</x:v>
      </x:c>
      <x:c r="F14" s="14" t="str">
        <x:v>Live task generation and deadline acceptance</x:v>
      </x:c>
      <x:c r="G14" s="14" t="str">
        <x:v>Codex</x:v>
      </x:c>
      <x:c r="H14" s="16" t="str">
        <x:v>2026-08-11</x:v>
      </x:c>
      <x:c r="I14" s="14" t="str">
        <x:v>Generate and move live tasks</x:v>
      </x:c>
    </x:row>
    <x:row r="15" ht="45" customHeight="1">
      <x:c r="A15" s="14" t="str">
        <x:v>M10</x:v>
      </x:c>
      <x:c r="B15" s="14" t="str">
        <x:v>Document vault</x:v>
      </x:c>
      <x:c r="C15" s="14" t="str">
        <x:v>Partial</x:v>
      </x:c>
      <x:c r="D15" s="14" t="str">
        <x:v>Optional</x:v>
      </x:c>
      <x:c r="E15" s="14" t="str">
        <x:v>Private buckets, RLS and upload/download routes</x:v>
      </x:c>
      <x:c r="F15" s="14" t="str">
        <x:v>Live signed-storage test or disable beta upload</x:v>
      </x:c>
      <x:c r="G15" s="14" t="str">
        <x:v>Codex</x:v>
      </x:c>
      <x:c r="H15" s="16" t="str">
        <x:v>2026-08-12</x:v>
      </x:c>
      <x:c r="I15" s="14" t="str">
        <x:v>Prove private access or disable</x:v>
      </x:c>
    </x:row>
    <x:row r="16" ht="45" customHeight="1">
      <x:c r="A16" s="14" t="str">
        <x:v>M11</x:v>
      </x:c>
      <x:c r="B16" s="14" t="str">
        <x:v>Notifications and support</x:v>
      </x:c>
      <x:c r="C16" s="14" t="str">
        <x:v>Partial</x:v>
      </x:c>
      <x:c r="D16" s="14" t="str">
        <x:v>Feedback only</x:v>
      </x:c>
      <x:c r="E16" s="14" t="str">
        <x:v>Preferences, corrections and outbox models</x:v>
      </x:c>
      <x:c r="F16" s="14" t="str">
        <x:v>Working feedback channel and monitoring</x:v>
      </x:c>
      <x:c r="G16" s="14" t="str">
        <x:v>Haidar + Codex</x:v>
      </x:c>
      <x:c r="H16" s="16" t="str">
        <x:v>2026-08-12</x:v>
      </x:c>
      <x:c r="I16" s="14" t="str">
        <x:v>Activate feedback and alerts</x:v>
      </x:c>
    </x:row>
    <x:row r="17" ht="45" customHeight="1">
      <x:c r="A17" s="14" t="str">
        <x:v>M12</x:v>
      </x:c>
      <x:c r="B17" s="14" t="str">
        <x:v>Operations and admin</x:v>
      </x:c>
      <x:c r="C17" s="14" t="str">
        <x:v>Blocked</x:v>
      </x:c>
      <x:c r="D17" s="14" t="str">
        <x:v>Must ship</x:v>
      </x:c>
      <x:c r="E17" s="14" t="str">
        <x:v>Protected API, UI, audit and research roles</x:v>
      </x:c>
      <x:c r="F17" s="14" t="str">
        <x:v>Production admin, source-review exercise and advisors</x:v>
      </x:c>
      <x:c r="G17" s="14" t="str">
        <x:v>Haidar + Codex</x:v>
      </x:c>
      <x:c r="H17" s="16" t="str">
        <x:v>2026-08-12</x:v>
      </x:c>
      <x:c r="I17" s="14" t="str">
        <x:v>Create admin and run review</x:v>
      </x:c>
    </x:row>
    <x:row r="18" ht="45" customHeight="1">
      <x:c r="A18" s="14" t="str">
        <x:v>M13</x:v>
      </x:c>
      <x:c r="B18" s="14" t="str">
        <x:v>Writing and recommenders</x:v>
      </x:c>
      <x:c r="C18" s="14" t="str">
        <x:v>Deferred</x:v>
      </x:c>
      <x:c r="D18" s="14" t="str">
        <x:v>After beta</x:v>
      </x:c>
      <x:c r="E18" s="14" t="str">
        <x:v>Foundation UI, routes and confidential-storage model</x:v>
      </x:c>
      <x:c r="F18" s="14" t="str">
        <x:v>Email, reminders and submission acceptance</x:v>
      </x:c>
      <x:c r="G18" s="14" t="str">
        <x:v>Codex</x:v>
      </x:c>
      <x:c r="H18" s="16" t="str"/>
      <x:c r="I18" s="14" t="str">
        <x:v>Do not work before launch</x:v>
      </x:c>
    </x:row>
    <x:row r="19" ht="45" customHeight="1">
      <x:c r="A19" s="14" t="str">
        <x:v>M14</x:v>
      </x:c>
      <x:c r="B19" s="14" t="str">
        <x:v>Funding and offers</x:v>
      </x:c>
      <x:c r="C19" s="14" t="str">
        <x:v>Deferred</x:v>
      </x:c>
      <x:c r="D19" s="14" t="str">
        <x:v>After beta</x:v>
      </x:c>
      <x:c r="E19" s="14" t="str">
        <x:v>Planning UX and data model</x:v>
      </x:c>
      <x:c r="F19" s="14" t="str">
        <x:v>Live offer and decision workflow</x:v>
      </x:c>
      <x:c r="G19" s="14" t="str">
        <x:v>Codex</x:v>
      </x:c>
      <x:c r="H19" s="16" t="str"/>
      <x:c r="I19" s="14" t="str">
        <x:v>Do not work before launch</x:v>
      </x:c>
    </x:row>
    <x:row r="20" ht="45" customHeight="1">
      <x:c r="A20" s="14" t="str">
        <x:v>M15</x:v>
      </x:c>
      <x:c r="B20" s="14" t="str">
        <x:v>Shared API and iOS</x:v>
      </x:c>
      <x:c r="C20" s="14" t="str">
        <x:v>Deferred</x:v>
      </x:c>
      <x:c r="D20" s="14" t="str">
        <x:v>After beta</x:v>
      </x:c>
      <x:c r="E20" s="14" t="str">
        <x:v>Reusable server routes and domain services</x:v>
      </x:c>
      <x:c r="F20" s="14" t="str">
        <x:v>Versioned v1, OpenAPI and iOS client</x:v>
      </x:c>
      <x:c r="G20" s="14" t="str">
        <x:v>Codex</x:v>
      </x:c>
      <x:c r="H20" s="16" t="str"/>
      <x:c r="I20" s="14" t="str">
        <x:v>Do not work before launch</x:v>
      </x:c>
    </x:row>
  </x:sheetData>
  <x:mergeCells>
    <x:mergeCell ref="A1:I1"/>
    <x:mergeCell ref="A2:I2"/>
  </x:mergeCells>
  <x:conditionalFormatting sqref="C5:C20">
    <x:cfRule type="containsText" dxfId="0" priority="1" operator="containsText" text="Done"/>
    <x:cfRule type="containsText" dxfId="1" priority="2" operator="containsText" text="Partial"/>
    <x:cfRule type="containsText" dxfId="2" priority="3" operator="containsText" text="In Progress"/>
    <x:cfRule type="containsText" dxfId="3" priority="4" operator="containsText" text="Blocked"/>
    <x:cfRule type="containsText" dxfId="4" priority="5" operator="containsText" text="Deferred"/>
  </x:conditionalFormatting>
  <x:dataValidations count="1">
    <x:dataValidation type="list" sqref="C5:C20">
      <x:formula1>"Not Started,Partial,In Progress,In Review,Blocked,Done,Deferred"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d8b79e824644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10" hidden="0" customWidth="1"/>
    <x:col min="4" max="4" width="18" hidden="0" customWidth="1"/>
    <x:col min="5" max="5" width="13" hidden="0" customWidth="1"/>
    <x:col min="6" max="6" width="15" hidden="0" customWidth="1"/>
    <x:col min="7" max="7" width="36" hidden="0" customWidth="1"/>
    <x:col min="8" max="8" width="28" hidden="0" customWidth="1"/>
  </x:cols>
  <x:sheetData>
    <x:row r="1" ht="34" customHeight="1">
      <x:c r="A1" s="3" t="str">
        <x:v>ScholarPath Blocker Register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P0 blockers controlling the 14 August invite-only beta</x:v>
      </x:c>
      <x:c r="B2" s="6"/>
      <x:c r="C2" s="6"/>
      <x:c r="D2" s="6"/>
      <x:c r="E2" s="6"/>
      <x:c r="F2" s="6"/>
      <x:c r="G2" s="6"/>
      <x:c r="H2" s="6"/>
    </x:row>
    <x:row r="4" ht="30" customHeight="1">
      <x:c r="A4" s="9" t="str">
        <x:v>ID</x:v>
      </x:c>
      <x:c r="B4" s="9" t="str">
        <x:v>Blocker</x:v>
      </x:c>
      <x:c r="C4" s="9" t="str">
        <x:v>Priority</x:v>
      </x:c>
      <x:c r="D4" s="9" t="str">
        <x:v>Owner</x:v>
      </x:c>
      <x:c r="E4" s="9" t="str">
        <x:v>Due</x:v>
      </x:c>
      <x:c r="F4" s="9" t="str">
        <x:v>Status</x:v>
      </x:c>
      <x:c r="G4" s="9" t="str">
        <x:v>Impact</x:v>
      </x:c>
      <x:c r="H4" s="9" t="str">
        <x:v>Next action</x:v>
      </x:c>
    </x:row>
    <x:row r="5" ht="45" customHeight="1">
      <x:c r="A5" s="13" t="str">
        <x:v>B01</x:v>
      </x:c>
      <x:c r="B5" s="13" t="str">
        <x:v>Supabase authentication and project access</x:v>
      </x:c>
      <x:c r="C5" s="13" t="str">
        <x:v>P0</x:v>
      </x:c>
      <x:c r="D5" s="13" t="str">
        <x:v>Haidar</x:v>
      </x:c>
      <x:c r="E5" s="15" t="str">
        <x:v>2026-08-06</x:v>
      </x:c>
      <x:c r="F5" s="13" t="str">
        <x:v>Blocked</x:v>
      </x:c>
      <x:c r="G5" s="13" t="str">
        <x:v>All live database, Auth and operations work</x:v>
      </x:c>
      <x:c r="H5" s="13" t="str">
        <x:v>Sign in to Supabase</x:v>
      </x:c>
    </x:row>
    <x:row r="6" ht="45" customHeight="1">
      <x:c r="A6" s="14" t="str">
        <x:v>B02</x:v>
      </x:c>
      <x:c r="B6" s="14" t="str">
        <x:v>Apply migrations 009-010 and secure environment values</x:v>
      </x:c>
      <x:c r="C6" s="14" t="str">
        <x:v>P0</x:v>
      </x:c>
      <x:c r="D6" s="14" t="str">
        <x:v>Codex</x:v>
      </x:c>
      <x:c r="E6" s="16" t="str">
        <x:v>2026-08-06</x:v>
      </x:c>
      <x:c r="F6" s="14" t="str">
        <x:v>Blocked</x:v>
      </x:c>
      <x:c r="G6" s="14" t="str">
        <x:v>Production catalogue and permission matrix</x:v>
      </x:c>
      <x:c r="H6" s="14" t="str">
        <x:v>Close B01</x:v>
      </x:c>
    </x:row>
    <x:row r="7" ht="45" customHeight="1">
      <x:c r="A7" s="14" t="str">
        <x:v>B03</x:v>
      </x:c>
      <x:c r="B7" s="14" t="str">
        <x:v>Auth redirects, first admin and two-user isolation</x:v>
      </x:c>
      <x:c r="C7" s="14" t="str">
        <x:v>P0</x:v>
      </x:c>
      <x:c r="D7" s="14" t="str">
        <x:v>Haidar + Codex</x:v>
      </x:c>
      <x:c r="E7" s="16" t="str">
        <x:v>2026-08-07</x:v>
      </x:c>
      <x:c r="F7" s="14" t="str">
        <x:v>Blocked</x:v>
      </x:c>
      <x:c r="G7" s="14" t="str">
        <x:v>Signed-in beta and staff operations</x:v>
      </x:c>
      <x:c r="H7" s="14" t="str">
        <x:v>Close B01</x:v>
      </x:c>
    </x:row>
    <x:row r="8" ht="45" customHeight="1">
      <x:c r="A8" s="14" t="str">
        <x:v>B04</x:v>
      </x:c>
      <x:c r="B8" s="14" t="str">
        <x:v>Five additional independently reviewed opportunities</x:v>
      </x:c>
      <x:c r="C8" s="14" t="str">
        <x:v>P0</x:v>
      </x:c>
      <x:c r="D8" s="14" t="str">
        <x:v>Codex + Reviewer</x:v>
      </x:c>
      <x:c r="E8" s="16" t="str">
        <x:v>2026-08-10</x:v>
      </x:c>
      <x:c r="F8" s="14" t="str">
        <x:v>In Progress</x:v>
      </x:c>
      <x:c r="G8" s="14" t="str">
        <x:v>Catalogue breadth and recommendation proof</x:v>
      </x:c>
      <x:c r="H8" s="14" t="str">
        <x:v>Review official sources</x:v>
      </x:c>
    </x:row>
    <x:row r="9" ht="45" customHeight="1">
      <x:c r="A9" s="14" t="str">
        <x:v>B05</x:v>
      </x:c>
      <x:c r="B9" s="14" t="str">
        <x:v>Thirty golden profiles and signed-in end-to-end test</x:v>
      </x:c>
      <x:c r="C9" s="14" t="str">
        <x:v>P0</x:v>
      </x:c>
      <x:c r="D9" s="14" t="str">
        <x:v>Codex</x:v>
      </x:c>
      <x:c r="E9" s="16" t="str">
        <x:v>2026-08-11</x:v>
      </x:c>
      <x:c r="F9" s="14" t="str">
        <x:v>In Progress</x:v>
      </x:c>
      <x:c r="G9" s="14" t="str">
        <x:v>Decision correctness and critical journey</x:v>
      </x:c>
      <x:c r="H9" s="14" t="str">
        <x:v>Build fixtures and test</x:v>
      </x:c>
    </x:row>
    <x:row r="10" ht="45" customHeight="1">
      <x:c r="A10" s="14" t="str">
        <x:v>B06</x:v>
      </x:c>
      <x:c r="B10" s="14" t="str">
        <x:v>Feedback, monitoring and release alerts</x:v>
      </x:c>
      <x:c r="C10" s="14" t="str">
        <x:v>P0</x:v>
      </x:c>
      <x:c r="D10" s="14" t="str">
        <x:v>Haidar + Codex</x:v>
      </x:c>
      <x:c r="E10" s="16" t="str">
        <x:v>2026-08-12</x:v>
      </x:c>
      <x:c r="F10" s="14" t="str">
        <x:v>Not Started</x:v>
      </x:c>
      <x:c r="G10" s="14" t="str">
        <x:v>Beta support and observability</x:v>
      </x:c>
      <x:c r="H10" s="14" t="str">
        <x:v>Choose channels and configure</x:v>
      </x:c>
    </x:row>
    <x:row r="11" ht="45" customHeight="1">
      <x:c r="A11" s="14" t="str">
        <x:v>B07</x:v>
      </x:c>
      <x:c r="B11" s="14" t="str">
        <x:v>Founder desktop/mobile approval</x:v>
      </x:c>
      <x:c r="C11" s="14" t="str">
        <x:v>P0</x:v>
      </x:c>
      <x:c r="D11" s="14" t="str">
        <x:v>Haidar</x:v>
      </x:c>
      <x:c r="E11" s="16" t="str">
        <x:v>2026-08-13</x:v>
      </x:c>
      <x:c r="F11" s="14" t="str">
        <x:v>Not Started</x:v>
      </x:c>
      <x:c r="G11" s="14" t="str">
        <x:v>Final release sign-off</x:v>
      </x:c>
      <x:c r="H11" s="14" t="str">
        <x:v>Review release candidate</x:v>
      </x:c>
    </x:row>
  </x:sheetData>
  <x:mergeCells>
    <x:mergeCell ref="A1:H1"/>
    <x:mergeCell ref="A2:H2"/>
  </x:mergeCells>
  <x:conditionalFormatting sqref="F5:F11">
    <x:cfRule type="containsText" dxfId="5" priority="1" operator="containsText" text="Done"/>
    <x:cfRule type="containsText" dxfId="6" priority="2" operator="containsText" text="Partial"/>
    <x:cfRule type="containsText" dxfId="7" priority="3" operator="containsText" text="In Progress"/>
    <x:cfRule type="containsText" dxfId="8" priority="4" operator="containsText" text="Blocked"/>
    <x:cfRule type="containsText" dxfId="9" priority="5" operator="containsText" text="Deferred"/>
  </x:conditionalFormatting>
  <x:dataValidations count="1">
    <x:dataValidation type="list" sqref="F5:F11">
      <x:formula1>"Not Started,Partial,In Progress,In Review,Blocked,Done,Deferred"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99552f013046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0" hidden="0" customWidth="1"/>
    <x:col min="4" max="4" width="15" hidden="0" customWidth="1"/>
    <x:col min="5" max="5" width="18" hidden="0" customWidth="1"/>
    <x:col min="6" max="6" width="48" hidden="0" customWidth="1"/>
  </x:cols>
  <x:sheetData>
    <x:row r="1" ht="34" customHeight="1">
      <x:c r="A1" s="3" t="str">
        <x:v>ScholarPath Beta Gates</x:v>
      </x:c>
      <x:c r="B1" s="3"/>
      <x:c r="C1" s="3"/>
      <x:c r="D1" s="3"/>
      <x:c r="E1" s="3"/>
      <x:c r="F1" s="3"/>
    </x:row>
    <x:row r="2" ht="28" customHeight="1">
      <x:c r="A2" s="6" t="str">
        <x:v>The beta stays closed until every P0 condition has evidence</x:v>
      </x:c>
      <x:c r="B2" s="6"/>
      <x:c r="C2" s="6"/>
      <x:c r="D2" s="6"/>
      <x:c r="E2" s="6"/>
      <x:c r="F2" s="6"/>
    </x:row>
    <x:row r="4" ht="30" customHeight="1">
      <x:c r="A4" s="9" t="str">
        <x:v>Gate</x:v>
      </x:c>
      <x:c r="B4" s="9" t="str">
        <x:v>Release condition</x:v>
      </x:c>
      <x:c r="C4" s="9" t="str">
        <x:v>Priority</x:v>
      </x:c>
      <x:c r="D4" s="9" t="str">
        <x:v>Status</x:v>
      </x:c>
      <x:c r="E4" s="9" t="str">
        <x:v>Blocked by</x:v>
      </x:c>
      <x:c r="F4" s="9" t="str">
        <x:v>Acceptance evidence</x:v>
      </x:c>
    </x:row>
    <x:row r="5" ht="45" customHeight="1">
      <x:c r="A5" s="13" t="str">
        <x:v>G01</x:v>
      </x:c>
      <x:c r="B5" s="13" t="str">
        <x:v>Production Supabase and Vercel connected</x:v>
      </x:c>
      <x:c r="C5" s="13" t="str">
        <x:v>P0</x:v>
      </x:c>
      <x:c r="D5" s="13" t="str">
        <x:v>Blocked</x:v>
      </x:c>
      <x:c r="E5" s="13" t="str">
        <x:v>B01-B02</x:v>
      </x:c>
      <x:c r="F5" s="13" t="str">
        <x:v>No demo mode in live environment</x:v>
      </x:c>
    </x:row>
    <x:row r="6" ht="45" customHeight="1">
      <x:c r="A6" s="14" t="str">
        <x:v>G02</x:v>
      </x:c>
      <x:c r="B6" s="14" t="str">
        <x:v>Auth and tenant isolation</x:v>
      </x:c>
      <x:c r="C6" s="14" t="str">
        <x:v>P0</x:v>
      </x:c>
      <x:c r="D6" s="14" t="str">
        <x:v>Blocked</x:v>
      </x:c>
      <x:c r="E6" s="14" t="str">
        <x:v>B01-B03</x:v>
      </x:c>
      <x:c r="F6" s="14" t="str">
        <x:v>Two students and staff roles pass</x:v>
      </x:c>
    </x:row>
    <x:row r="7" ht="45" customHeight="1">
      <x:c r="A7" s="14" t="str">
        <x:v>G03</x:v>
      </x:c>
      <x:c r="B7" s="14" t="str">
        <x:v>Ten reviewed opportunities</x:v>
      </x:c>
      <x:c r="C7" s="14" t="str">
        <x:v>P0</x:v>
      </x:c>
      <x:c r="D7" s="14" t="str">
        <x:v>In Progress</x:v>
      </x:c>
      <x:c r="E7" s="14" t="str">
        <x:v>B04</x:v>
      </x:c>
      <x:c r="F7" s="14" t="str">
        <x:v>Current evidence and independent review</x:v>
      </x:c>
    </x:row>
    <x:row r="8" ht="45" customHeight="1">
      <x:c r="A8" s="14" t="str">
        <x:v>G04</x:v>
      </x:c>
      <x:c r="B8" s="14" t="str">
        <x:v>Thirty golden profiles</x:v>
      </x:c>
      <x:c r="C8" s="14" t="str">
        <x:v>P0</x:v>
      </x:c>
      <x:c r="D8" s="14" t="str">
        <x:v>In Progress</x:v>
      </x:c>
      <x:c r="E8" s="14" t="str">
        <x:v>B05</x:v>
      </x:c>
      <x:c r="F8" s="14" t="str">
        <x:v>Regression and subgroup review pass</x:v>
      </x:c>
    </x:row>
    <x:row r="9" ht="45" customHeight="1">
      <x:c r="A9" s="14" t="str">
        <x:v>G05</x:v>
      </x:c>
      <x:c r="B9" s="14" t="str">
        <x:v>Critical student journey</x:v>
      </x:c>
      <x:c r="C9" s="14" t="str">
        <x:v>P0</x:v>
      </x:c>
      <x:c r="D9" s="14" t="str">
        <x:v>Partial</x:v>
      </x:c>
      <x:c r="E9" s="14" t="str">
        <x:v>B02-B05</x:v>
      </x:c>
      <x:c r="F9" s="14" t="str">
        <x:v>Auth-profile-recommendations-portfolio-application-tasks</x:v>
      </x:c>
    </x:row>
    <x:row r="10" ht="45" customHeight="1">
      <x:c r="A10" s="14" t="str">
        <x:v>G06</x:v>
      </x:c>
      <x:c r="B10" s="14" t="str">
        <x:v>Trust and explanations</x:v>
      </x:c>
      <x:c r="C10" s="14" t="str">
        <x:v>P0</x:v>
      </x:c>
      <x:c r="D10" s="14" t="str">
        <x:v>Partial</x:v>
      </x:c>
      <x:c r="E10" s="14" t="str">
        <x:v>M03-M05</x:v>
      </x:c>
      <x:c r="F10" s="14" t="str">
        <x:v>Sources, uncertainty and next actions visible</x:v>
      </x:c>
    </x:row>
    <x:row r="11" ht="45" customHeight="1">
      <x:c r="A11" s="14" t="str">
        <x:v>G07</x:v>
      </x:c>
      <x:c r="B11" s="14" t="str">
        <x:v>UX and accessibility</x:v>
      </x:c>
      <x:c r="C11" s="14" t="str">
        <x:v>P0</x:v>
      </x:c>
      <x:c r="D11" s="14" t="str">
        <x:v>Not Started</x:v>
      </x:c>
      <x:c r="E11" s="14" t="str">
        <x:v>B07</x:v>
      </x:c>
      <x:c r="F11" s="14" t="str">
        <x:v>Founder desktop/mobile approval</x:v>
      </x:c>
    </x:row>
    <x:row r="12" ht="45" customHeight="1">
      <x:c r="A12" s="14" t="str">
        <x:v>G08</x:v>
      </x:c>
      <x:c r="B12" s="14" t="str">
        <x:v>Support and monitoring</x:v>
      </x:c>
      <x:c r="C12" s="14" t="str">
        <x:v>P0</x:v>
      </x:c>
      <x:c r="D12" s="14" t="str">
        <x:v>Not Started</x:v>
      </x:c>
      <x:c r="E12" s="14" t="str">
        <x:v>B06</x:v>
      </x:c>
      <x:c r="F12" s="14" t="str">
        <x:v>Feedback and errors reach team</x:v>
      </x:c>
    </x:row>
    <x:row r="13" ht="45" customHeight="1">
      <x:c r="A13" s="14" t="str">
        <x:v>G09</x:v>
      </x:c>
      <x:c r="B13" s="14" t="str">
        <x:v>Release safety</x:v>
      </x:c>
      <x:c r="C13" s="14" t="str">
        <x:v>P0</x:v>
      </x:c>
      <x:c r="D13" s="14" t="str">
        <x:v>Not Started</x:v>
      </x:c>
      <x:c r="E13" s="14" t="str">
        <x:v>All P0</x:v>
      </x:c>
      <x:c r="F13" s="14" t="str">
        <x:v>No critical defect; backup and rollback checked</x:v>
      </x:c>
    </x:row>
  </x:sheetData>
  <x:mergeCells>
    <x:mergeCell ref="A1:F1"/>
    <x:mergeCell ref="A2:F2"/>
  </x:mergeCells>
  <x:conditionalFormatting sqref="D5:D13">
    <x:cfRule type="containsText" dxfId="15" priority="1" operator="containsText" text="Done"/>
    <x:cfRule type="containsText" dxfId="16" priority="2" operator="containsText" text="Partial"/>
    <x:cfRule type="containsText" dxfId="17" priority="3" operator="containsText" text="In Progress"/>
    <x:cfRule type="containsText" dxfId="18" priority="4" operator="containsText" text="Blocked"/>
    <x:cfRule type="containsText" dxfId="19" priority="5" operator="containsText" text="Deferred"/>
  </x:conditionalFormatting>
  <x:dataValidations count="1">
    <x:dataValidation type="list" sqref="D5:D13">
      <x:formula1>"Not Started,Partial,In Progress,In Review,Blocked,Done,Deferred"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781c7073764f6e"/>
  </x:tableParts>
</x:worksheet>
</file>